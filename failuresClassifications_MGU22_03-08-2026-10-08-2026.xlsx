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xr:revisionPtr revIDLastSave="2" documentId="11_78CE70CDB690D6402C0A3E2C194C664A7594252A" xr6:coauthVersionLast="47" xr6:coauthVersionMax="47" xr10:uidLastSave="{F47EC420-847D-48A9-A34E-B37A2F8BBABD}"/>
  <bookViews>
    <workbookView xWindow="0" yWindow="0" windowWidth="0" windowHeight="0" xr2:uid="{00000000-000D-0000-FFFF-FFFF00000000}"/>
  </bookViews>
  <sheets>
    <sheet name="Report" sheetId="1" r:id="rId1"/>
    <sheet name="Report CI gates" sheetId="2" r:id="rId2"/>
    <sheet name="Report Subchecks" sheetId="3" r:id="rId3"/>
    <sheet name="Statistics" sheetId="4" r:id="rId4"/>
    <sheet name="Report Diff" sheetId="5" r:id="rId5"/>
    <sheet name="Calculations CI gates" sheetId="6" r:id="rId6"/>
    <sheet name="Result CI Gates" sheetId="7" r:id="rId7"/>
    <sheet name="Calculations Subchecks" sheetId="8" r:id="rId8"/>
    <sheet name="Results Subchecks" sheetId="9" r:id="rId9"/>
  </sheets>
  <calcPr calcId="191028" refMode="R1C1" iterateCount="0" calcOnSave="0" concurrentCalc="0"/>
  <pivotCaches>
    <pivotCache cacheId="5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8" l="1"/>
  <c r="I8" i="8"/>
  <c r="I7" i="8"/>
  <c r="I6" i="8"/>
  <c r="I4" i="8"/>
  <c r="C6" i="7"/>
  <c r="C5" i="7"/>
  <c r="C4" i="7"/>
  <c r="C3" i="7"/>
  <c r="B45" i="6"/>
  <c r="D40" i="6"/>
  <c r="L39" i="6"/>
  <c r="C58" i="7" s="1"/>
  <c r="K39" i="6"/>
  <c r="B58" i="7" s="1"/>
  <c r="D39" i="6"/>
  <c r="L38" i="6"/>
  <c r="C57" i="7" s="1"/>
  <c r="K38" i="6"/>
  <c r="B57" i="7" s="1"/>
  <c r="E38" i="6"/>
  <c r="F38" i="6" s="1"/>
  <c r="L37" i="6"/>
  <c r="C56" i="7" s="1"/>
  <c r="K37" i="6"/>
  <c r="B56" i="7" s="1"/>
  <c r="E37" i="6"/>
  <c r="L36" i="6"/>
  <c r="C55" i="7" s="1"/>
  <c r="K36" i="6"/>
  <c r="B55" i="7" s="1"/>
  <c r="E36" i="6"/>
  <c r="L35" i="6"/>
  <c r="C54" i="7" s="1"/>
  <c r="K35" i="6"/>
  <c r="B54" i="7" s="1"/>
  <c r="E35" i="6"/>
  <c r="F35" i="6" s="1"/>
  <c r="L34" i="6"/>
  <c r="C53" i="7" s="1"/>
  <c r="K34" i="6"/>
  <c r="B53" i="7" s="1"/>
  <c r="E34" i="6"/>
  <c r="L33" i="6"/>
  <c r="C52" i="7" s="1"/>
  <c r="K33" i="6"/>
  <c r="B52" i="7" s="1"/>
  <c r="E33" i="6"/>
  <c r="L32" i="6"/>
  <c r="C51" i="7" s="1"/>
  <c r="K32" i="6"/>
  <c r="B51" i="7" s="1"/>
  <c r="E32" i="6"/>
  <c r="L31" i="6"/>
  <c r="C50" i="7" s="1"/>
  <c r="K31" i="6"/>
  <c r="B50" i="7" s="1"/>
  <c r="E31" i="6"/>
  <c r="L30" i="6"/>
  <c r="C49" i="7" s="1"/>
  <c r="K30" i="6"/>
  <c r="B49" i="7" s="1"/>
  <c r="E30" i="6"/>
  <c r="L29" i="6"/>
  <c r="C48" i="7" s="1"/>
  <c r="K29" i="6"/>
  <c r="B48" i="7" s="1"/>
  <c r="E29" i="6"/>
  <c r="L28" i="6"/>
  <c r="C47" i="7" s="1"/>
  <c r="K28" i="6"/>
  <c r="B47" i="7" s="1"/>
  <c r="E28" i="6"/>
  <c r="L27" i="6"/>
  <c r="C46" i="7" s="1"/>
  <c r="K27" i="6"/>
  <c r="B46" i="7" s="1"/>
  <c r="E27" i="6"/>
  <c r="L26" i="6"/>
  <c r="C45" i="7" s="1"/>
  <c r="K26" i="6"/>
  <c r="B45" i="7" s="1"/>
  <c r="E26" i="6"/>
  <c r="L25" i="6"/>
  <c r="C44" i="7" s="1"/>
  <c r="K25" i="6"/>
  <c r="B44" i="7" s="1"/>
  <c r="E25" i="6"/>
  <c r="F25" i="6" s="1"/>
  <c r="L24" i="6"/>
  <c r="C43" i="7" s="1"/>
  <c r="K24" i="6"/>
  <c r="B43" i="7" s="1"/>
  <c r="E24" i="6"/>
  <c r="L23" i="6"/>
  <c r="C42" i="7" s="1"/>
  <c r="K23" i="6"/>
  <c r="B42" i="7" s="1"/>
  <c r="E23" i="6"/>
  <c r="L22" i="6"/>
  <c r="C41" i="7" s="1"/>
  <c r="K22" i="6"/>
  <c r="B41" i="7" s="1"/>
  <c r="E22" i="6"/>
  <c r="L21" i="6"/>
  <c r="C40" i="7" s="1"/>
  <c r="K21" i="6"/>
  <c r="B40" i="7" s="1"/>
  <c r="E21" i="6"/>
  <c r="L20" i="6"/>
  <c r="C39" i="7" s="1"/>
  <c r="K20" i="6"/>
  <c r="B39" i="7" s="1"/>
  <c r="E20" i="6"/>
  <c r="L19" i="6"/>
  <c r="C38" i="7" s="1"/>
  <c r="K19" i="6"/>
  <c r="B38" i="7" s="1"/>
  <c r="E19" i="6"/>
  <c r="L18" i="6"/>
  <c r="C37" i="7" s="1"/>
  <c r="K18" i="6"/>
  <c r="B37" i="7" s="1"/>
  <c r="E18" i="6"/>
  <c r="L17" i="6"/>
  <c r="C36" i="7" s="1"/>
  <c r="K17" i="6"/>
  <c r="B36" i="7" s="1"/>
  <c r="E17" i="6"/>
  <c r="L16" i="6"/>
  <c r="C35" i="7" s="1"/>
  <c r="K16" i="6"/>
  <c r="B35" i="7" s="1"/>
  <c r="E16" i="6"/>
  <c r="L15" i="6"/>
  <c r="C34" i="7" s="1"/>
  <c r="K15" i="6"/>
  <c r="B34" i="7" s="1"/>
  <c r="E15" i="6"/>
  <c r="L14" i="6"/>
  <c r="C33" i="7" s="1"/>
  <c r="K14" i="6"/>
  <c r="B33" i="7" s="1"/>
  <c r="E14" i="6"/>
  <c r="L13" i="6"/>
  <c r="C32" i="7" s="1"/>
  <c r="K13" i="6"/>
  <c r="B32" i="7" s="1"/>
  <c r="E13" i="6"/>
  <c r="L12" i="6"/>
  <c r="C31" i="7" s="1"/>
  <c r="K12" i="6"/>
  <c r="B31" i="7" s="1"/>
  <c r="E12" i="6"/>
  <c r="L11" i="6"/>
  <c r="C30" i="7" s="1"/>
  <c r="K11" i="6"/>
  <c r="B30" i="7" s="1"/>
  <c r="E11" i="6"/>
  <c r="L10" i="6"/>
  <c r="C29" i="7" s="1"/>
  <c r="K10" i="6"/>
  <c r="B29" i="7" s="1"/>
  <c r="E10" i="6"/>
  <c r="L9" i="6"/>
  <c r="C28" i="7" s="1"/>
  <c r="K9" i="6"/>
  <c r="B28" i="7" s="1"/>
  <c r="E9" i="6"/>
  <c r="L8" i="6"/>
  <c r="C27" i="7" s="1"/>
  <c r="K8" i="6"/>
  <c r="B27" i="7" s="1"/>
  <c r="I8" i="6"/>
  <c r="E8" i="6"/>
  <c r="L7" i="6"/>
  <c r="C26" i="7" s="1"/>
  <c r="K7" i="6"/>
  <c r="B26" i="7" s="1"/>
  <c r="I7" i="6"/>
  <c r="E7" i="6"/>
  <c r="L6" i="6"/>
  <c r="C25" i="7" s="1"/>
  <c r="K6" i="6"/>
  <c r="B25" i="7" s="1"/>
  <c r="I6" i="6"/>
  <c r="E6" i="6"/>
  <c r="L5" i="6"/>
  <c r="C24" i="7" s="1"/>
  <c r="K5" i="6"/>
  <c r="B24" i="7" s="1"/>
  <c r="I5" i="6"/>
  <c r="E5" i="6"/>
  <c r="L4" i="6"/>
  <c r="C23" i="7" s="1"/>
  <c r="K4" i="6"/>
  <c r="B23" i="7" s="1"/>
  <c r="I4" i="6"/>
  <c r="E4" i="6"/>
  <c r="I3" i="6"/>
  <c r="F6" i="6" l="1"/>
  <c r="F5" i="6"/>
  <c r="F4" i="6"/>
  <c r="J4" i="6"/>
  <c r="J6" i="6"/>
  <c r="F8" i="6"/>
  <c r="F7" i="6"/>
  <c r="J7" i="6"/>
  <c r="J8" i="6"/>
  <c r="F16" i="6"/>
  <c r="F15" i="6"/>
  <c r="F14" i="6"/>
  <c r="F13" i="6"/>
  <c r="F12" i="6"/>
  <c r="F11" i="6"/>
  <c r="F10" i="6"/>
  <c r="F9" i="6"/>
  <c r="F22" i="6"/>
  <c r="F21" i="6"/>
  <c r="F20" i="6"/>
  <c r="F19" i="6"/>
  <c r="F18" i="6"/>
  <c r="F17" i="6"/>
  <c r="F24" i="6"/>
  <c r="F23" i="6"/>
  <c r="F28" i="6"/>
  <c r="F27" i="6"/>
  <c r="F26" i="6"/>
  <c r="F34" i="6"/>
  <c r="F33" i="6"/>
  <c r="F32" i="6"/>
  <c r="F31" i="6"/>
  <c r="F30" i="6"/>
  <c r="F29" i="6"/>
  <c r="F37" i="6"/>
  <c r="F36" i="6"/>
  <c r="D39" i="8"/>
  <c r="E38" i="8"/>
  <c r="F38" i="8" s="1"/>
  <c r="E37" i="8" l="1"/>
  <c r="C48" i="9" s="1"/>
  <c r="F48" i="9" s="1"/>
  <c r="E48" i="9" s="1"/>
  <c r="E36" i="8"/>
  <c r="E35" i="8"/>
  <c r="E34" i="8"/>
  <c r="C26" i="9" s="1"/>
  <c r="F26" i="9" s="1"/>
  <c r="E26" i="9" s="1"/>
  <c r="E33" i="8"/>
  <c r="C32" i="9" s="1"/>
  <c r="F32" i="9" s="1"/>
  <c r="E32" i="9" s="1"/>
  <c r="E32" i="8"/>
  <c r="C28" i="9" s="1"/>
  <c r="F28" i="9" s="1"/>
  <c r="E28" i="9" s="1"/>
  <c r="E31" i="8"/>
  <c r="C30" i="9" s="1"/>
  <c r="F30" i="9" s="1"/>
  <c r="E30" i="9" s="1"/>
  <c r="E30" i="8"/>
  <c r="C37" i="9" s="1"/>
  <c r="F37" i="9" s="1"/>
  <c r="E37" i="9" s="1"/>
  <c r="E29" i="8"/>
  <c r="E28" i="8"/>
  <c r="C27" i="9" s="1"/>
  <c r="F27" i="9" s="1"/>
  <c r="E27" i="9" s="1"/>
  <c r="E27" i="8"/>
  <c r="C29" i="9" s="1"/>
  <c r="F29" i="9" s="1"/>
  <c r="E29" i="9" s="1"/>
  <c r="E26" i="8"/>
  <c r="E25" i="8"/>
  <c r="E24" i="8"/>
  <c r="C13" i="9" s="1"/>
  <c r="F13" i="9" s="1"/>
  <c r="E13" i="9" s="1"/>
  <c r="E23" i="8"/>
  <c r="E22" i="8"/>
  <c r="C25" i="9" s="1"/>
  <c r="F25" i="9" s="1"/>
  <c r="E25" i="9" s="1"/>
  <c r="E21" i="8"/>
  <c r="C34" i="9" s="1"/>
  <c r="F34" i="9" s="1"/>
  <c r="E34" i="9" s="1"/>
  <c r="E20" i="8"/>
  <c r="C41" i="9" s="1"/>
  <c r="F41" i="9" s="1"/>
  <c r="E41" i="9" s="1"/>
  <c r="E19" i="8"/>
  <c r="C33" i="9" s="1"/>
  <c r="F33" i="9" s="1"/>
  <c r="E33" i="9" s="1"/>
  <c r="E18" i="8"/>
  <c r="C36" i="9" s="1"/>
  <c r="F36" i="9" s="1"/>
  <c r="E36" i="9" s="1"/>
  <c r="E17" i="8"/>
  <c r="E16" i="8"/>
  <c r="C20" i="9" s="1"/>
  <c r="F20" i="9" s="1"/>
  <c r="E20" i="9" s="1"/>
  <c r="E15" i="8"/>
  <c r="C18" i="9" s="1"/>
  <c r="F18" i="9" s="1"/>
  <c r="E18" i="9" s="1"/>
  <c r="E14" i="8"/>
  <c r="C14" i="9" s="1"/>
  <c r="F14" i="9" s="1"/>
  <c r="E14" i="9" s="1"/>
  <c r="E13" i="8"/>
  <c r="C19" i="9" s="1"/>
  <c r="F19" i="9" s="1"/>
  <c r="E19" i="9" s="1"/>
  <c r="E12" i="8"/>
  <c r="E11" i="8"/>
  <c r="C17" i="9" s="1"/>
  <c r="F17" i="9" s="1"/>
  <c r="E17" i="9" s="1"/>
  <c r="E10" i="8"/>
  <c r="C9" i="9" s="1"/>
  <c r="F9" i="9" s="1"/>
  <c r="E9" i="9" s="1"/>
  <c r="E9" i="8"/>
  <c r="E8" i="8"/>
  <c r="C40" i="9" s="1"/>
  <c r="F40" i="9" s="1"/>
  <c r="E40" i="9" s="1"/>
  <c r="E7" i="8"/>
  <c r="E6" i="8"/>
  <c r="C15" i="9" s="1"/>
  <c r="F15" i="9" s="1"/>
  <c r="E15" i="9" s="1"/>
  <c r="I5" i="8"/>
  <c r="I3" i="8" s="1"/>
  <c r="E5" i="8"/>
  <c r="C16" i="9" s="1"/>
  <c r="F16" i="9" s="1"/>
  <c r="E16" i="9" s="1"/>
  <c r="E4" i="8"/>
  <c r="F6" i="8" l="1"/>
  <c r="F5" i="8"/>
  <c r="F4" i="8"/>
  <c r="J4" i="8"/>
  <c r="J6" i="8"/>
  <c r="F6" i="9" s="1"/>
  <c r="J7" i="8"/>
  <c r="F46" i="9" s="1"/>
  <c r="J8" i="8"/>
  <c r="F24" i="9" s="1"/>
  <c r="C42" i="9"/>
  <c r="F42" i="9" s="1"/>
  <c r="E42" i="9" s="1"/>
  <c r="F8" i="8"/>
  <c r="F7" i="8"/>
  <c r="C7" i="9"/>
  <c r="F7" i="9" s="1"/>
  <c r="E7" i="9" s="1"/>
  <c r="F16" i="8"/>
  <c r="F15" i="8"/>
  <c r="F14" i="8"/>
  <c r="F13" i="8"/>
  <c r="F12" i="8"/>
  <c r="F11" i="8"/>
  <c r="F10" i="8"/>
  <c r="F9" i="8"/>
  <c r="C11" i="9"/>
  <c r="F11" i="9" s="1"/>
  <c r="E11" i="9" s="1"/>
  <c r="C10" i="9"/>
  <c r="F10" i="9" s="1"/>
  <c r="E10" i="9" s="1"/>
  <c r="C31" i="9"/>
  <c r="F31" i="9" s="1"/>
  <c r="E31" i="9" s="1"/>
  <c r="F22" i="8"/>
  <c r="F21" i="8"/>
  <c r="F20" i="8"/>
  <c r="F19" i="8"/>
  <c r="F18" i="8"/>
  <c r="F17" i="8"/>
  <c r="C12" i="9"/>
  <c r="F12" i="9" s="1"/>
  <c r="E12" i="9" s="1"/>
  <c r="F24" i="8"/>
  <c r="F23" i="8"/>
  <c r="C38" i="9"/>
  <c r="F38" i="9" s="1"/>
  <c r="E38" i="9" s="1"/>
  <c r="F25" i="8"/>
  <c r="C39" i="9"/>
  <c r="F39" i="9" s="1"/>
  <c r="E39" i="9" s="1"/>
  <c r="F28" i="8"/>
  <c r="F27" i="8"/>
  <c r="F26" i="8"/>
  <c r="C35" i="9"/>
  <c r="F35" i="9" s="1"/>
  <c r="E35" i="9" s="1"/>
  <c r="F34" i="8"/>
  <c r="F33" i="8"/>
  <c r="F32" i="8"/>
  <c r="F31" i="8"/>
  <c r="F30" i="8"/>
  <c r="F29" i="8"/>
  <c r="C8" i="9"/>
  <c r="F8" i="9" s="1"/>
  <c r="E8" i="9" s="1"/>
  <c r="F35" i="8"/>
  <c r="C47" i="9"/>
  <c r="F47" i="9" s="1"/>
  <c r="E47" i="9" s="1"/>
  <c r="F37" i="8"/>
  <c r="F36" i="8"/>
  <c r="F3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800-000001000000}">
      <text>
        <r>
          <rPr>
            <sz val="11"/>
            <color indexed="8"/>
            <rFont val="Calibri"/>
            <family val="2"/>
            <scheme val="minor"/>
          </rPr>
          <t>Includes failures from the following Main Categories:
- REGULAR_GIT_TREE_FAILURE
- REGULAR_BUILD_FAILURE
- REGULAR_ECU_FAILURE
- REGULAR_TEST_FAILURE</t>
        </r>
      </text>
    </comment>
    <comment ref="E24" authorId="0" shapeId="0" xr:uid="{00000000-0006-0000-0800-000002000000}">
      <text>
        <r>
          <rPr>
            <sz val="11"/>
            <color indexed="8"/>
            <rFont val="Calibri"/>
            <family val="2"/>
            <scheme val="minor"/>
          </rPr>
          <t>Includes failures from the following Main Categories:
- IRREGULAR_GIT_TREE_FAILURE
- IRREGULAR_BUILD_FAILURE
- IRREGULAR_ECU_FAILURE
- IRREGULAR_INFRASTRUCTURE_FAILURE
- IRREGULAR_TEST_FAILURE|TEST_OTHER_IRREGULAR_FAILURE
- UNCLASSIFIED_FAILURE</t>
        </r>
      </text>
    </comment>
    <comment ref="E46" authorId="0" shapeId="0" xr:uid="{00000000-0006-0000-0800-000003000000}">
      <text>
        <r>
          <rPr>
            <sz val="11"/>
            <color indexed="8"/>
            <rFont val="Calibri"/>
            <family val="2"/>
            <scheme val="minor"/>
          </rPr>
          <t>Includes failures from the following Category:
- IRREGULAR_TEST_FAILURE|TEST_GENERAL_ISSUE</t>
        </r>
      </text>
    </comment>
  </commentList>
</comments>
</file>

<file path=xl/sharedStrings.xml><?xml version="1.0" encoding="utf-8"?>
<sst xmlns="http://schemas.openxmlformats.org/spreadsheetml/2006/main" count="1263" uniqueCount="208">
  <si>
    <t>Report shows all builds for which failures classification is possible</t>
  </si>
  <si>
    <t>Organization filter: MGU22%</t>
  </si>
  <si>
    <t>Baseline filter: MGU22</t>
  </si>
  <si>
    <t>Date from: 03-08-2026</t>
  </si>
  <si>
    <t>Date to: 10-08-2026</t>
  </si>
  <si>
    <t>Generated at: 10.08.2026 06:41:24</t>
  </si>
  <si>
    <t/>
  </si>
  <si>
    <t>EXECUTION_ID</t>
  </si>
  <si>
    <t>ORGANIZATION</t>
  </si>
  <si>
    <t>CI_STAGE</t>
  </si>
  <si>
    <t>JOB</t>
  </si>
  <si>
    <t>RESULT</t>
  </si>
  <si>
    <t>URL</t>
  </si>
  <si>
    <t>CI_GATE_URL</t>
  </si>
  <si>
    <t>TIMESTAMP</t>
  </si>
  <si>
    <t>CATEGORY</t>
  </si>
  <si>
    <t>SUB-CATEGORY</t>
  </si>
  <si>
    <t>COMMENT</t>
  </si>
  <si>
    <t>TICKET</t>
  </si>
  <si>
    <t>CLASSIFIED_AT</t>
  </si>
  <si>
    <t>CLASSIFIED_BY</t>
  </si>
  <si>
    <t>MGU22 - SYSTEM INTEGRATION</t>
  </si>
  <si>
    <t>SINT</t>
  </si>
  <si>
    <t>SINT---MGU22_SWINT_04---PLATFORM_SW_BUILD/BITBAKE_TARGETS=mgu22</t>
  </si>
  <si>
    <t>UNSTABLE</t>
  </si>
  <si>
    <t>https://asc.bmwgroup.net/bci/00780/job/SINT---MGU22_SWINT_04---PLATFORM_SW_BUILD/BITBAKE_TARGETS=mgu22/1594</t>
  </si>
  <si>
    <t>https://asc.bmwgroup.net/bci/00780/job/SINT---MGU22_SWINT_04/1749</t>
  </si>
  <si>
    <t>REGULAR_BUILD_FAILURE</t>
  </si>
  <si>
    <t>BUILD_BITBAKE_FAILURE</t>
  </si>
  <si>
    <t>Automatically classified by BCI</t>
  </si>
  <si>
    <t>SYSTEM</t>
  </si>
  <si>
    <t>SINT---MGU22_SWINT_01---PLATFORM_SW_BUILD/BITBAKE_TARGETS=mgu22</t>
  </si>
  <si>
    <t>ABORTED</t>
  </si>
  <si>
    <t>https://asc.bmwgroup.net/bci/00780/job/SINT---MGU22_SWINT_01---PLATFORM_SW_BUILD/BITBAKE_TARGETS=mgu22/3716</t>
  </si>
  <si>
    <t>https://asc.bmwgroup.net/bci/00780/job/SINT---MGU22_SWINT_01/4191</t>
  </si>
  <si>
    <t>BUILD_USER_ABORT_FAILURE</t>
  </si>
  <si>
    <t>MGU22 - BASE SYSTEM</t>
  </si>
  <si>
    <t>SINT---MGU22_BSYS_02---PLATFORM_SYSTEM_TESTS_HARDWARE_B1_HIGHF_22</t>
  </si>
  <si>
    <t>https://asc.bmwgroup.net/bci/08480/job/SINT---MGU22_BSYS_02---PLATFORM_SYSTEM_TESTS_HARDWARE_B1_HIGHF_22/1126</t>
  </si>
  <si>
    <t>https://asc.bmwgroup.net/bci/08480/job/SINT---MGU22_BSYS_02/1830</t>
  </si>
  <si>
    <t>IRREGULAR_TEST_FAILURE</t>
  </si>
  <si>
    <t>TEST_OTHER_IRREGULAR_FAILURE</t>
  </si>
  <si>
    <t>MGU22: Test-execution-environment.posttests_can_asc_sanity_tests case failing</t>
  </si>
  <si>
    <t>SIT-53324</t>
  </si>
  <si>
    <t>qxz5hes</t>
  </si>
  <si>
    <t>https://asc.bmwgroup.net/bci/00780/job/SINT---MGU22_SWINT_04---PLATFORM_SW_BUILD/BITBAKE_TARGETS=mgu22/1595</t>
  </si>
  <si>
    <t>https://asc.bmwgroup.net/bci/00780/job/SINT---MGU22_SWINT_04/1750</t>
  </si>
  <si>
    <t>https://asc.bmwgroup.net/bci/00780/job/SINT---MGU22_SWINT_01---PLATFORM_SW_BUILD/BITBAKE_TARGETS=mgu22/3717</t>
  </si>
  <si>
    <t>https://asc.bmwgroup.net/bci/00780/job/SINT---MGU22_SWINT_01/4192</t>
  </si>
  <si>
    <t>SINT---MGU22_DEVCI_01---PLATFORM_SYSTEM_TESTS_HARDWARE_B1_HIGHF_22</t>
  </si>
  <si>
    <t>https://asc.bmwgroup.net/bci/03480/job/SINT---MGU22_DEVCI_01---PLATFORM_SYSTEM_TESTS_HARDWARE_B1_HIGHF_22/5300</t>
  </si>
  <si>
    <t>https://asc.bmwgroup.net/bci/03480/job/SINT---MGU22_DEVCI_01/9270</t>
  </si>
  <si>
    <t>SINT---MGU22_DEVCI01_01_TBS---PLATFORM_SYSTEM_TESTS_VIRTUAL_MGU22</t>
  </si>
  <si>
    <t>https://asc.bmwgroup.net/bci/07080/job/SINT---MGU22_DEVCI01_01_TBS---PLATFORM_SYSTEM_TESTS_VIRTUAL_MGU22/972</t>
  </si>
  <si>
    <t>https://asc.bmwgroup.net/bci/07080/job/SINT---MGU22_DEVCI01_01_TBS/1191</t>
  </si>
  <si>
    <t>SINT---MGU22_DEVCI01_01_TBS---PLATFORM_SYSTEM_TESTS_HARDWARE_B1_HIGHF_22_5</t>
  </si>
  <si>
    <t>https://asc.bmwgroup.net/bci/07080/job/SINT---MGU22_DEVCI01_01_TBS---PLATFORM_SYSTEM_TESTS_HARDWARE_B1_HIGHF_22_5/916</t>
  </si>
  <si>
    <t>Setup/Worker issue</t>
  </si>
  <si>
    <t>SINT---MGU22_DEVCI01_01_TBS---PLATFORM_SYSTEM_TESTS_HARDWARE_B1_HIGHF_22_4</t>
  </si>
  <si>
    <t>https://asc.bmwgroup.net/bci/07080/job/SINT---MGU22_DEVCI01_01_TBS---PLATFORM_SYSTEM_TESTS_HARDWARE_B1_HIGHF_22_4/945</t>
  </si>
  <si>
    <t>SINT---MGU22_DEVCI01_01_TBS---PLATFORM_SYSTEM_TESTS_HARDWARE_B1_HIGHF_22</t>
  </si>
  <si>
    <t>https://asc.bmwgroup.net/bci/07080/job/SINT---MGU22_DEVCI01_01_TBS---PLATFORM_SYSTEM_TESTS_HARDWARE_B1_HIGHF_22/1012</t>
  </si>
  <si>
    <t>https://asc.bmwgroup.net/bci/03480/job/SINT---MGU22_DEVCI_01---PLATFORM_SYSTEM_TESTS_HARDWARE_B1_HIGHF_22/5302</t>
  </si>
  <si>
    <t>https://asc.bmwgroup.net/bci/03480/job/SINT---MGU22_DEVCI_01/9272</t>
  </si>
  <si>
    <t>https://asc.bmwgroup.net/bci/03480/job/SINT---MGU22_DEVCI_01---PLATFORM_SYSTEM_TESTS_HARDWARE_B1_HIGHF_22/5303</t>
  </si>
  <si>
    <t>https://asc.bmwgroup.net/bci/03480/job/SINT---MGU22_DEVCI_01/9273</t>
  </si>
  <si>
    <t>https://asc.bmwgroup.net/bci/00780/job/SINT---MGU22_SWINT_04---PLATFORM_SW_BUILD/BITBAKE_TARGETS=mgu22/1596</t>
  </si>
  <si>
    <t>https://asc.bmwgroup.net/bci/00780/job/SINT---MGU22_SWINT_04/1751</t>
  </si>
  <si>
    <t>https://asc.bmwgroup.net/bci/00780/job/SINT---MGU22_SWINT_01---PLATFORM_SW_BUILD/BITBAKE_TARGETS=mgu22/3718</t>
  </si>
  <si>
    <t>https://asc.bmwgroup.net/bci/00780/job/SINT---MGU22_SWINT_01/4193</t>
  </si>
  <si>
    <t>SINT---MGU22_SWINT_01---PLATFORM_SYSTEM_TESTS_HARDWARE_B1_HIGHF_22</t>
  </si>
  <si>
    <t>https://asc.bmwgroup.net/bci/00780/job/SINT---MGU22_SWINT_01---PLATFORM_SYSTEM_TESTS_HARDWARE_B1_HIGHF_22/2623</t>
  </si>
  <si>
    <t>https://asc.bmwgroup.net/bci/00780/job/SINT---MGU22_SWINT_01/4194</t>
  </si>
  <si>
    <t>SINT---MGU22_SWINT_04---PLATFORM_SYSTEM_TESTS_HARDWARE_B1_HIGHF_22</t>
  </si>
  <si>
    <t>https://asc.bmwgroup.net/bci/00780/job/SINT---MGU22_SWINT_04---PLATFORM_SYSTEM_TESTS_HARDWARE_B1_HIGHF_22/960</t>
  </si>
  <si>
    <t>https://asc.bmwgroup.net/bci/00780/job/SINT---MGU22_SWINT_04/1752</t>
  </si>
  <si>
    <t>MGU22 - OSIS EU</t>
  </si>
  <si>
    <t>SINT---MGU22_OSISEU_01---PLATFORM_SYSTEM_TESTS_HARDWARE_B1_HIGHF_22</t>
  </si>
  <si>
    <t>https://asc.bmwgroup.net/bci/01480/job/SINT---MGU22_OSISEU_01---PLATFORM_SYSTEM_TESTS_HARDWARE_B1_HIGHF_22/2553</t>
  </si>
  <si>
    <t>https://asc.bmwgroup.net/bci/01480/job/SINT---MGU22_OSISEU_01/3587</t>
  </si>
  <si>
    <t>SINT---MGU22_DEVCI_02---PLATFORM_SYSTEM_TESTS_HARDWARE_B1_HIGHF_22</t>
  </si>
  <si>
    <t>https://asc.bmwgroup.net/bci/03480/job/SINT---MGU22_DEVCI_02---PLATFORM_SYSTEM_TESTS_HARDWARE_B1_HIGHF_22/3801</t>
  </si>
  <si>
    <t>https://asc.bmwgroup.net/bci/03480/job/SINT---MGU22_DEVCI_02/6349</t>
  </si>
  <si>
    <t>SINT---MGU22_DEVCI01_01_TBS---PLATFORM_SYSTEM_TESTS_HARDWARE_B1_HIGHF_22_2</t>
  </si>
  <si>
    <t>https://asc.bmwgroup.net/bci/07080/job/SINT---MGU22_DEVCI01_01_TBS---PLATFORM_SYSTEM_TESTS_HARDWARE_B1_HIGHF_22_2/972</t>
  </si>
  <si>
    <t>https://asc.bmwgroup.net/bci/07080/job/SINT---MGU22_DEVCI01_01_TBS/1192</t>
  </si>
  <si>
    <t>https://asc.bmwgroup.net/bci/07080/job/SINT---MGU22_DEVCI01_01_TBS---PLATFORM_SYSTEM_TESTS_HARDWARE_B1_HIGHF_22/1013</t>
  </si>
  <si>
    <t>https://asc.bmwgroup.net/bci/03480/job/SINT---MGU22_DEVCI_01---PLATFORM_SYSTEM_TESTS_HARDWARE_B1_HIGHF_22/5305</t>
  </si>
  <si>
    <t>https://asc.bmwgroup.net/bci/03480/job/SINT---MGU22_DEVCI_01/9275</t>
  </si>
  <si>
    <t>https://asc.bmwgroup.net/bci/00780/job/SINT---MGU22_SWINT_04---PLATFORM_SYSTEM_TESTS_HARDWARE_B1_HIGHF_22/962</t>
  </si>
  <si>
    <t>https://asc.bmwgroup.net/bci/00780/job/SINT---MGU22_SWINT_04/1754</t>
  </si>
  <si>
    <t>https://asc.bmwgroup.net/bci/00780/job/SINT---MGU22_SWINT_04---PLATFORM_SW_BUILD/BITBAKE_TARGETS=mgu22/1600</t>
  </si>
  <si>
    <t>https://asc.bmwgroup.net/bci/00780/job/SINT---MGU22_SWINT_04/1755</t>
  </si>
  <si>
    <t>https://asc.bmwgroup.net/bci/00780/job/SINT---MGU22_SWINT_04---PLATFORM_SW_BUILD/BITBAKE_TARGETS=mgu22/1601</t>
  </si>
  <si>
    <t>https://asc.bmwgroup.net/bci/00780/job/SINT---MGU22_SWINT_04/1756</t>
  </si>
  <si>
    <t>SINT---MGU22_OSISEU_01---PLATFORM_SW_BUILD/BITBAKE_TARGETS=mgu22</t>
  </si>
  <si>
    <t>https://asc.bmwgroup.net/bci/01480/job/SINT---MGU22_OSISEU_01---PLATFORM_SW_BUILD/BITBAKE_TARGETS=mgu22/3206</t>
  </si>
  <si>
    <t>https://asc.bmwgroup.net/bci/01480/job/SINT---MGU22_OSISEU_01/3588</t>
  </si>
  <si>
    <t>Report shows all CI Gate builds builds for which failures classification is possible</t>
  </si>
  <si>
    <t>HAS_FAILED_SUBCHECKS</t>
  </si>
  <si>
    <t>SINT---MGU22_SWINT_04</t>
  </si>
  <si>
    <t>FAILED</t>
  </si>
  <si>
    <t>1</t>
  </si>
  <si>
    <t>SINT---MGU22_SWINT_01</t>
  </si>
  <si>
    <t>SINT---MGU22_BSYS_02</t>
  </si>
  <si>
    <t>SINT---MGU22_DEVCI_01</t>
  </si>
  <si>
    <t>null</t>
  </si>
  <si>
    <t>SINT---MGU22_DEVCI01_01_TBS</t>
  </si>
  <si>
    <t>SUCCESS</t>
  </si>
  <si>
    <t>null || IRREGULAR_TEST_FAILURE</t>
  </si>
  <si>
    <t>null || TEST_OTHER_IRREGULAR_FAILURE</t>
  </si>
  <si>
    <t>SINT---MGU22_OSISEU_01</t>
  </si>
  <si>
    <t>SINT---MGU22_DEVCI_02</t>
  </si>
  <si>
    <t>Report shows all Subcheck builds for which failures classification is possible</t>
  </si>
  <si>
    <t>Total CI-Gate runs per organization MGU22% and baseline MGU22 per result (overall)</t>
  </si>
  <si>
    <t>Overall counts without any filtering</t>
  </si>
  <si>
    <t>DATE</t>
  </si>
  <si>
    <t>ONGOING</t>
  </si>
  <si>
    <t>Total Subcheck runs per organization MGU22% and baseline MGU22 per result (overall)</t>
  </si>
  <si>
    <t>Total CI-Gate runs per organization MGU22% and baseline MGU22 per result (filtered)</t>
  </si>
  <si>
    <t xml:space="preserve">Potentially failure classified ci gates rules:
- feature "ff_failure_classification"
- plugin configuration "failure_classification_ignore_subchecks_regex" .*---domain|RSE_PIPELINE_BUILD|IDC_PIPELINE_BUILD|MGU22_PDX
- feature "ff_failure_classification_ignore_for_additional_sts" - do not classify additional STs </t>
  </si>
  <si>
    <t>Total Subcheck runs per organization MGU22% and baseline MGU22 per result (filtered)</t>
  </si>
  <si>
    <t>Failure classified CI-Gate runs per organization MGU22% and baseline MGU22% per result (filtered)</t>
  </si>
  <si>
    <t>Classified ci gates rules:
- potentailly failure classfied rules
- feature ff_failure_classification_filter_platform_sw_build_pairs - filtering matrix run - matrix build
- feature ff_failure_classification_suppress_retry - filtering retried builds</t>
  </si>
  <si>
    <t>Failure classified Subcheck runs per organization MGU22% and baseline MGU22% per result (filtered)</t>
  </si>
  <si>
    <t>Count of failure classified option executions not included in Report sheet (ignoring SUCCESS): 30</t>
  </si>
  <si>
    <t>SINT---MGU22_SWINT_04---PLATFORM_SW_BUILD</t>
  </si>
  <si>
    <t>https://asc.bmwgroup.net/bci/00780/job/SINT---MGU22_SWINT_04---PLATFORM_SW_BUILD/1594</t>
  </si>
  <si>
    <t>SINT---MGU22_SWINT_01---PLATFORM_SW_BUILD</t>
  </si>
  <si>
    <t>https://asc.bmwgroup.net/bci/00780/job/SINT---MGU22_SWINT_01---PLATFORM_SW_BUILD/3716</t>
  </si>
  <si>
    <t>https://asc.bmwgroup.net/bci/00780/job/SINT---MGU22_SWINT_04---PLATFORM_SW_BUILD/1595</t>
  </si>
  <si>
    <t>https://asc.bmwgroup.net/bci/00780/job/SINT---MGU22_SWINT_01---PLATFORM_SW_BUILD/3717</t>
  </si>
  <si>
    <t>https://asc.bmwgroup.net/bci/00780/job/SINT---MGU22_SWINT_04---PLATFORM_SW_BUILD/1596</t>
  </si>
  <si>
    <t>https://asc.bmwgroup.net/bci/00780/job/SINT---MGU22_SWINT_01---PLATFORM_SW_BUILD/3718</t>
  </si>
  <si>
    <t>https://asc.bmwgroup.net/bci/00780/job/SINT---MGU22_SWINT_04---PLATFORM_SW_BUILD/1600</t>
  </si>
  <si>
    <t>https://asc.bmwgroup.net/bci/00780/job/SINT---MGU22_SWINT_04---PLATFORM_SW_BUILD/1601</t>
  </si>
  <si>
    <t>SINT---MGU22_OSISEU_01---PLATFORM_SW_BUILD</t>
  </si>
  <si>
    <t>https://asc.bmwgroup.net/bci/01480/job/SINT---MGU22_OSISEU_01---PLATFORM_SW_BUILD/3206</t>
  </si>
  <si>
    <t>https://asc.bmwgroup.net/bci/03480/job/SINT---MGU22_DEVCI_01/9279</t>
  </si>
  <si>
    <t>https://asc.bmwgroup.net/bci/03480/job/SINT---MGU22_DEVCI_01---PLATFORM_SYSTEM_TESTS_HARDWARE_B1_HIGHF_22/5309</t>
  </si>
  <si>
    <t>Count of executions from Report sheet not included in failure classified option: 0</t>
  </si>
  <si>
    <t>These values are for CI gates where failure did not occur on a subcheck</t>
  </si>
  <si>
    <t>SUBCATEGORY</t>
  </si>
  <si>
    <t>COUNT</t>
  </si>
  <si>
    <t>SUBCATEGORY %</t>
  </si>
  <si>
    <t>CATEGORY %</t>
  </si>
  <si>
    <t>Total (Failed + Aborted)</t>
  </si>
  <si>
    <t>Data source for chart "Failed CI gate runs" in sheet "Results CI gates"</t>
  </si>
  <si>
    <t>REGULAR_GIT_TREE_FAILURE</t>
  </si>
  <si>
    <t>GIT_MERGE_FAILURE</t>
  </si>
  <si>
    <t>Aborted</t>
  </si>
  <si>
    <t>GIT_WRONG_TOPIC_FAILURE</t>
  </si>
  <si>
    <t>Failed</t>
  </si>
  <si>
    <t>GIT_OTHER_REGULAR_FAILURE</t>
  </si>
  <si>
    <t>Failed Regularly</t>
  </si>
  <si>
    <t>IRREGULAR_GIT_TREE_FAILURE</t>
  </si>
  <si>
    <t>GIT_TOPIC_FETCH_FAILURE</t>
  </si>
  <si>
    <t>Failed Irregularly - SW baseline</t>
  </si>
  <si>
    <t>GIT_OTHER_IRREGULAR_FAILURE</t>
  </si>
  <si>
    <t>Failed Irregularly - Toolchain</t>
  </si>
  <si>
    <t>BUILD_QA_CHECK_FAILURE</t>
  </si>
  <si>
    <t>BUILD_OTHER_REGULAR_FAILURE</t>
  </si>
  <si>
    <t>BUILD_POSTPROCESSING_FAILURE</t>
  </si>
  <si>
    <t>BUILD_SIGNED_COMPONENT_FAILURE</t>
  </si>
  <si>
    <t>BUILD_SCRIPT_REGULAR_FAILURE</t>
  </si>
  <si>
    <t>Row Labels</t>
  </si>
  <si>
    <t>Sum</t>
  </si>
  <si>
    <t>BUILD_SDK_UNIT_TEST_FAILURE</t>
  </si>
  <si>
    <t>BUILD_BITBAKE_TIMEOUT_FAILURE</t>
  </si>
  <si>
    <t>IRREGULAR_BUILD_FAILURE</t>
  </si>
  <si>
    <t>BUILD_DEPENDENCY_FAILURE</t>
  </si>
  <si>
    <t>BUILD_SCRIPT_FAILURE</t>
  </si>
  <si>
    <t>BUILD_FETCH_URL_FAILURE</t>
  </si>
  <si>
    <t>BUILD_OTHER_IRREGULAR_FAILURE</t>
  </si>
  <si>
    <t>BUILD_OUT_OF_RAM_FAILURE</t>
  </si>
  <si>
    <t>REGULAR_ECU_FAILURE</t>
  </si>
  <si>
    <t>ECU_IR_OVERWRITTEN_FAILURE</t>
  </si>
  <si>
    <t>ECU_OTHER_REGULAR_FAILURE</t>
  </si>
  <si>
    <t>IRREGULAR_ECU_FAILURE</t>
  </si>
  <si>
    <t>ECU_OTHER_IRREGULAR_FAILURE</t>
  </si>
  <si>
    <t>IRREGULAR_TOOLCHAIN_FAILURE</t>
  </si>
  <si>
    <t>TOOLCHAIN_FILE_HANDLING_FAILURE</t>
  </si>
  <si>
    <t>TOOLCHAIN_CONFIG_FAILURE</t>
  </si>
  <si>
    <t>TOOLCHAIN_OTHER_FAILURE</t>
  </si>
  <si>
    <t>IRREGULAR_INFRASTRUCTURE_FAILURE</t>
  </si>
  <si>
    <t>INFRASTRUCTURE_NETWORK_FAILURE</t>
  </si>
  <si>
    <t>INFRASTRUCTURE_SERVICE_FAILURE</t>
  </si>
  <si>
    <t>INFRASTRUCTURE_ASCENT_FAILURE</t>
  </si>
  <si>
    <t>INFRASTRUCTURE_CODECRAFT_ARTIFACTORY_FAILURE</t>
  </si>
  <si>
    <t>FAILED_SUBCHECKS</t>
  </si>
  <si>
    <t>INFRASTRUCTURE_CODECRAFT_GITHUB_FAILURE</t>
  </si>
  <si>
    <t>INFRASTRUCTURE_OTHER_FAILURE</t>
  </si>
  <si>
    <t>REGULAR_TEST_FAILURE</t>
  </si>
  <si>
    <t>TEST_CHANGE_RELATED</t>
  </si>
  <si>
    <t>TEST_GENERAL_ISSUE</t>
  </si>
  <si>
    <t>UNCLASSIFIED_FAILURE</t>
  </si>
  <si>
    <t>Count Without Failed Subchecks</t>
  </si>
  <si>
    <t>These values are for CI gates where failure occur on a subcheck (at least one)</t>
  </si>
  <si>
    <t>Grand Total</t>
  </si>
  <si>
    <t>Total number of CI gate runs for the week</t>
  </si>
  <si>
    <t>PASS</t>
  </si>
  <si>
    <t>Failed CI Gate Runs</t>
  </si>
  <si>
    <t>These values are for failures on subchecks only, regardless of the CI gate where they belong</t>
  </si>
  <si>
    <t>Irregular toolchain/services failures and SW baseline failure rate in subchecks =</t>
  </si>
  <si>
    <t>Top Contributors</t>
  </si>
  <si>
    <t>Regular Failures</t>
  </si>
  <si>
    <t>Irregular toolchain/services/infrastructure Failures</t>
  </si>
  <si>
    <t>Irregular SW baseline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</si>
</sst>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dd\.mm\.yyyy"/>
  </numFmts>
  <fonts count="7">
    <font>
      <sz val="11"/>
      <color indexed="8"/>
      <name val="Calibri"/>
      <family val="2"/>
      <scheme val="minor"/>
    </font>
    <font>
      <b/>
      <sz val="13"/>
      <name val="Calibri"/>
    </font>
    <font>
      <b/>
      <sz val="12"/>
      <name val="Calibri"/>
    </font>
    <font>
      <sz val="12"/>
      <name val="Calibri"/>
    </font>
    <font>
      <sz val="11"/>
      <color indexed="10"/>
      <name val="Calibri"/>
    </font>
    <font>
      <b/>
      <sz val="11"/>
      <name val="Calibri"/>
    </font>
    <font>
      <b/>
      <sz val="11"/>
      <color indexed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8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6" fillId="0" borderId="0" xfId="0" applyFont="1"/>
    <xf numFmtId="10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5" fontId="3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CI Gate runs</a:t>
            </a:r>
            <a:endParaRPr lang="en-US" sz="1100"/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1-07F2-4C17-BD58-4650E95AD9B7}"/>
              </c:ext>
            </c:extLst>
          </c:dPt>
          <c:dPt>
            <c:idx val="1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3-07F2-4C17-BD58-4650E95AD9B7}"/>
              </c:ext>
            </c:extLst>
          </c:dPt>
          <c:dPt>
            <c:idx val="2"/>
            <c:bubble3D val="0"/>
            <c:spPr>
              <a:solidFill>
                <a:srgbClr val="FFFF99"/>
              </a:solidFill>
            </c:spPr>
            <c:extLst>
              <c:ext xmlns:c16="http://schemas.microsoft.com/office/drawing/2014/chart" uri="{C3380CC4-5D6E-409C-BE32-E72D297353CC}">
                <c16:uniqueId val="{00000005-07F2-4C17-BD58-4650E95AD9B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'Result CI Gates'!$B$4:$B$6</c:f>
              <c:strCache>
                <c:ptCount val="3"/>
                <c:pt idx="0">
                  <c:v>PASS</c:v>
                </c:pt>
                <c:pt idx="1">
                  <c:v>ABORTED</c:v>
                </c:pt>
                <c:pt idx="2">
                  <c:v>FAILED</c:v>
                </c:pt>
              </c:strCache>
            </c:strRef>
          </c:cat>
          <c:val>
            <c:numRef>
              <c:f>'Result CI Gates'!$C$4:$C$6</c:f>
              <c:numCache>
                <c:formatCode>General</c:formatCode>
                <c:ptCount val="3"/>
                <c:pt idx="0">
                  <c:v>28</c:v>
                </c:pt>
                <c:pt idx="1">
                  <c:v>6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F2-4C17-BD58-4650E95AD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t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Failed CI Gate runs</a:t>
            </a:r>
            <a:endParaRPr lang="en-US" sz="1100"/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FAILED_SUBCHCEKS</c:v>
              </c:pt>
            </c:strLit>
          </c:cat>
          <c:val>
            <c:numLit>
              <c:formatCode>General</c:formatCode>
              <c:ptCount val="1"/>
              <c:pt idx="0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0-464E-4FC8-99FD-4D7C44EEA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t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BCI failed subchecks classification</a:t>
            </a:r>
            <a:endParaRPr lang="en-US" sz="1100"/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/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4"/>
              <c:pt idx="0">
                <c:v>GIT_MERGE_FAILURE</c:v>
              </c:pt>
              <c:pt idx="1">
                <c:v>GIT_WRONG_TOPIC_FAILURE</c:v>
              </c:pt>
              <c:pt idx="2">
                <c:v>GIT_OTHER_REGULAR_FAILURE</c:v>
              </c:pt>
              <c:pt idx="3">
                <c:v>GIT_TOPIC_FETCH_FAILURE</c:v>
              </c:pt>
              <c:pt idx="4">
                <c:v>GIT_OTHER_IRREGULAR_FAILURE</c:v>
              </c:pt>
              <c:pt idx="5">
                <c:v>BUILD_BITBAKE_FAILURE</c:v>
              </c:pt>
              <c:pt idx="6">
                <c:v>BUILD_QA_CHECK_FAILURE</c:v>
              </c:pt>
              <c:pt idx="7">
                <c:v>BUILD_OTHER_REGULAR_FAILURE</c:v>
              </c:pt>
              <c:pt idx="8">
                <c:v>BUILD_POSTPROCESSING_FAILURE</c:v>
              </c:pt>
              <c:pt idx="9">
                <c:v>BUILD_SIGNED_COMPONENT_FAILURE</c:v>
              </c:pt>
              <c:pt idx="10">
                <c:v>BUILD_SCRIPT_REGULAR_FAILURE</c:v>
              </c:pt>
              <c:pt idx="11">
                <c:v>BUILD_SDK_UNIT_TEST_FAILURE</c:v>
              </c:pt>
              <c:pt idx="12">
                <c:v>BUILD_USER_ABORT_FAILURE</c:v>
              </c:pt>
              <c:pt idx="13">
                <c:v>BUILD_DEPENDENCY_FAILURE</c:v>
              </c:pt>
              <c:pt idx="14">
                <c:v>BUILD_SCRIPT_FAILURE</c:v>
              </c:pt>
              <c:pt idx="15">
                <c:v>BUILD_FETCH_URL_FAILURE</c:v>
              </c:pt>
              <c:pt idx="16">
                <c:v>BUILD_BITBAKE_TIMEOUT_FAILURE</c:v>
              </c:pt>
              <c:pt idx="17">
                <c:v>BUILD_OUT_OF_RAM_FAILURE</c:v>
              </c:pt>
              <c:pt idx="18">
                <c:v>BUILD_OTHER_IRREGULAR_FAILURE</c:v>
              </c:pt>
              <c:pt idx="19">
                <c:v>ECU_IR_OVERWRITTEN_FAILURE</c:v>
              </c:pt>
              <c:pt idx="20">
                <c:v>ECU_OTHER_REGULAR_FAILURE</c:v>
              </c:pt>
              <c:pt idx="21">
                <c:v>ECU_OTHER_IRREGULAR_FAILURE</c:v>
              </c:pt>
              <c:pt idx="22">
                <c:v>TOOLCHAIN_FILE_HANDLING_FAILURE</c:v>
              </c:pt>
              <c:pt idx="23">
                <c:v>TOOLCHAIN_CONFIG_FAILURE</c:v>
              </c:pt>
              <c:pt idx="24">
                <c:v>TOOLCHAIN_OTHER_FAILURE</c:v>
              </c:pt>
              <c:pt idx="25">
                <c:v>INFRASTRUCTURE_NETWORK_FAILURE</c:v>
              </c:pt>
              <c:pt idx="26">
                <c:v>INFRASTRUCTURE_SERVICE_FAILURE</c:v>
              </c:pt>
              <c:pt idx="27">
                <c:v>INFRASTRUCTURE_ASCENT_FAILURE</c:v>
              </c:pt>
              <c:pt idx="28">
                <c:v>INFRASTRUCTURE_CODECRAFT_ARTIFACTORY_FAILURE</c:v>
              </c:pt>
              <c:pt idx="29">
                <c:v>INFRASTRUCTURE_CODECRAFT_GITHUB_FAILURE</c:v>
              </c:pt>
              <c:pt idx="30">
                <c:v>INFRASTRUCTURE_OTHER_FAILURE</c:v>
              </c:pt>
              <c:pt idx="31">
                <c:v>TEST_CHANGE_RELATED</c:v>
              </c:pt>
              <c:pt idx="32">
                <c:v>TEST_GENERAL_ISSUE</c:v>
              </c:pt>
              <c:pt idx="33">
                <c:v>TEST_OTHER_IRREGULAR_FAILURE</c:v>
              </c:pt>
            </c:str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5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5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13E7-4B79-8046-A9DF471BD22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291152391"/>
        <c:axId val="1"/>
      </c:barChart>
      <c:catAx>
        <c:axId val="29115239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CATEGORY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COUNT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29115239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25</xdr:col>
      <xdr:colOff>0</xdr:colOff>
      <xdr:row>45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30</xdr:col>
      <xdr:colOff>0</xdr:colOff>
      <xdr:row>50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47.4944068287" createdVersion="3" refreshedVersion="8" minRefreshableVersion="3" recordCount="36" xr:uid="{00000000-000A-0000-FFFF-FFFF02000000}">
  <cacheSource type="worksheet">
    <worksheetSource ref="C3:D39" sheet="Calculations CI gates"/>
  </cacheSource>
  <cacheFields count="2">
    <cacheField name="SUBCATEGORY" numFmtId="0">
      <sharedItems count="36">
        <s v="GIT_MERGE_FAILURE"/>
        <s v="GIT_WRONG_TOPIC_FAILURE"/>
        <s v="GIT_OTHER_REGULAR_FAILURE"/>
        <s v="GIT_TOPIC_FETCH_FAILURE"/>
        <s v="GIT_OTHER_IRREGULAR_FAILURE"/>
        <s v="BUILD_BITBAKE_FAILURE"/>
        <s v="BUILD_QA_CHECK_FAILURE"/>
        <s v="BUILD_OTHER_REGULAR_FAILURE"/>
        <s v="BUILD_POSTPROCESSING_FAILURE"/>
        <s v="BUILD_SIGNED_COMPONENT_FAILURE"/>
        <s v="BUILD_SCRIPT_REGULAR_FAILURE"/>
        <s v="BUILD_SDK_UNIT_TEST_FAILURE"/>
        <s v="BUILD_USER_ABORT_FAILURE"/>
        <s v="BUILD_DEPENDENCY_FAILURE"/>
        <s v="BUILD_SCRIPT_FAILURE"/>
        <s v="BUILD_FETCH_URL_FAILURE"/>
        <s v="BUILD_BITBAKE_TIMEOUT_FAILURE"/>
        <s v="BUILD_OUT_OF_RAM_FAILURE"/>
        <s v="BUILD_OTHER_IRREGULAR_FAILURE"/>
        <s v="ECU_IR_OVERWRITTEN_FAILURE"/>
        <s v="ECU_OTHER_REGULAR_FAILURE"/>
        <s v="ECU_OTHER_IRREGULAR_FAILURE"/>
        <s v="TOOLCHAIN_FILE_HANDLING_FAILURE"/>
        <s v="TOOLCHAIN_CONFIG_FAILURE"/>
        <s v="TOOLCHAIN_OTHER_FAILURE"/>
        <s v="INFRASTRUCTURE_NETWORK_FAILURE"/>
        <s v="INFRASTRUCTURE_SERVICE_FAILURE"/>
        <s v="INFRASTRUCTURE_ASCENT_FAILURE"/>
        <s v="INFRASTRUCTURE_CODECRAFT_ARTIFACTORY_FAILURE"/>
        <s v="INFRASTRUCTURE_CODECRAFT_GITHUB_FAILURE"/>
        <s v="INFRASTRUCTURE_OTHER_FAILURE"/>
        <s v="TEST_CHANGE_RELATED"/>
        <s v="TEST_GENERAL_ISSUE"/>
        <s v="TEST_OTHER_IRREGULAR_FAILURE"/>
        <s v="UNCLASSIFIED_FAILURE"/>
        <s v="FAILED_SUBCHECKS"/>
      </sharedItems>
    </cacheField>
    <cacheField name="COUNT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H14:I51" firstHeaderRow="1" firstDataRow="1" firstDataCol="1"/>
  <pivotFields count="2">
    <pivotField axis="axisRow" showAll="0" sortType="ascending">
      <items count="37">
        <item x="5"/>
        <item x="16"/>
        <item x="13"/>
        <item x="15"/>
        <item x="18"/>
        <item x="7"/>
        <item x="17"/>
        <item x="8"/>
        <item x="6"/>
        <item x="14"/>
        <item x="10"/>
        <item x="11"/>
        <item x="9"/>
        <item x="12"/>
        <item x="19"/>
        <item x="21"/>
        <item x="20"/>
        <item x="35"/>
        <item x="0"/>
        <item x="4"/>
        <item x="2"/>
        <item x="3"/>
        <item x="1"/>
        <item x="27"/>
        <item x="28"/>
        <item x="29"/>
        <item x="25"/>
        <item x="30"/>
        <item x="26"/>
        <item x="31"/>
        <item x="32"/>
        <item x="33"/>
        <item x="23"/>
        <item x="22"/>
        <item x="24"/>
        <item x="34"/>
        <item t="default"/>
      </items>
    </pivotField>
    <pivotField dataField="1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/>
  </sheetViews>
  <sheetFormatPr defaultRowHeight="15"/>
  <cols>
    <col min="1" max="1" width="15" bestFit="1" customWidth="1"/>
    <col min="2" max="2" width="28.140625" bestFit="1" customWidth="1"/>
    <col min="3" max="3" width="10.140625" bestFit="1" customWidth="1"/>
    <col min="4" max="4" width="78.85546875" bestFit="1" customWidth="1"/>
    <col min="5" max="5" width="10" bestFit="1" customWidth="1"/>
    <col min="6" max="6" width="117.7109375" bestFit="1" customWidth="1"/>
    <col min="7" max="7" width="68.42578125" bestFit="1" customWidth="1"/>
    <col min="8" max="8" width="16.28515625" bestFit="1" customWidth="1"/>
    <col min="9" max="9" width="24" bestFit="1" customWidth="1"/>
    <col min="10" max="10" width="30.85546875" bestFit="1" customWidth="1"/>
    <col min="11" max="11" width="70.140625" bestFit="1" customWidth="1"/>
  </cols>
  <sheetData>
    <row r="1" spans="1:14">
      <c r="A1" s="20" t="s">
        <v>0</v>
      </c>
      <c r="B1" s="21"/>
      <c r="C1" s="21"/>
      <c r="D1" s="21"/>
    </row>
    <row r="2" spans="1:14">
      <c r="A2" s="20" t="s">
        <v>1</v>
      </c>
      <c r="B2" s="21"/>
      <c r="C2" s="21"/>
      <c r="D2" s="21"/>
    </row>
    <row r="3" spans="1:14">
      <c r="A3" s="20" t="s">
        <v>2</v>
      </c>
      <c r="B3" s="21"/>
      <c r="C3" s="21"/>
      <c r="D3" s="21"/>
    </row>
    <row r="4" spans="1:14">
      <c r="A4" s="20" t="s">
        <v>3</v>
      </c>
      <c r="B4" s="21"/>
      <c r="C4" s="21"/>
      <c r="D4" s="21"/>
    </row>
    <row r="5" spans="1:14">
      <c r="A5" s="20" t="s">
        <v>4</v>
      </c>
      <c r="B5" s="21"/>
      <c r="C5" s="21"/>
      <c r="D5" s="21"/>
    </row>
    <row r="6" spans="1:14">
      <c r="A6" s="20" t="s">
        <v>5</v>
      </c>
      <c r="B6" s="21"/>
      <c r="C6" s="21"/>
      <c r="D6" s="21"/>
    </row>
    <row r="7" spans="1:14">
      <c r="A7" s="1" t="s">
        <v>6</v>
      </c>
    </row>
    <row r="8" spans="1:14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</row>
    <row r="9" spans="1:14">
      <c r="A9" s="3">
        <v>155030349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4">
        <v>46237.46597222222</v>
      </c>
      <c r="I9" s="3" t="s">
        <v>27</v>
      </c>
      <c r="J9" s="3" t="s">
        <v>28</v>
      </c>
      <c r="K9" s="3" t="s">
        <v>29</v>
      </c>
      <c r="L9" s="3"/>
      <c r="M9" s="4">
        <v>46237.617638888885</v>
      </c>
      <c r="N9" s="3" t="s">
        <v>30</v>
      </c>
    </row>
    <row r="10" spans="1:14">
      <c r="A10" s="3">
        <v>155030355</v>
      </c>
      <c r="B10" s="3" t="s">
        <v>21</v>
      </c>
      <c r="C10" s="3" t="s">
        <v>22</v>
      </c>
      <c r="D10" s="3" t="s">
        <v>31</v>
      </c>
      <c r="E10" s="3" t="s">
        <v>32</v>
      </c>
      <c r="F10" s="3" t="s">
        <v>33</v>
      </c>
      <c r="G10" s="3" t="s">
        <v>34</v>
      </c>
      <c r="H10" s="4">
        <v>46237.466087962966</v>
      </c>
      <c r="I10" s="3" t="s">
        <v>27</v>
      </c>
      <c r="J10" s="3" t="s">
        <v>35</v>
      </c>
      <c r="K10" s="3" t="s">
        <v>29</v>
      </c>
      <c r="L10" s="3"/>
      <c r="M10" s="4">
        <v>46237.620243055557</v>
      </c>
      <c r="N10" s="3" t="s">
        <v>30</v>
      </c>
    </row>
    <row r="11" spans="1:14">
      <c r="A11" s="3">
        <v>155031157</v>
      </c>
      <c r="B11" s="3" t="s">
        <v>36</v>
      </c>
      <c r="C11" s="3" t="s">
        <v>22</v>
      </c>
      <c r="D11" s="3" t="s">
        <v>37</v>
      </c>
      <c r="E11" s="3" t="s">
        <v>24</v>
      </c>
      <c r="F11" s="3" t="s">
        <v>38</v>
      </c>
      <c r="G11" s="3" t="s">
        <v>39</v>
      </c>
      <c r="H11" s="4">
        <v>46237.599942129629</v>
      </c>
      <c r="I11" s="3" t="s">
        <v>40</v>
      </c>
      <c r="J11" s="3" t="s">
        <v>41</v>
      </c>
      <c r="K11" s="3" t="s">
        <v>42</v>
      </c>
      <c r="L11" s="3" t="s">
        <v>43</v>
      </c>
      <c r="M11" s="4">
        <v>46238.291354166664</v>
      </c>
      <c r="N11" s="3" t="s">
        <v>44</v>
      </c>
    </row>
    <row r="12" spans="1:14">
      <c r="A12" s="3">
        <v>155031332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45</v>
      </c>
      <c r="G12" s="3" t="s">
        <v>46</v>
      </c>
      <c r="H12" s="4">
        <v>46237.620949074073</v>
      </c>
      <c r="I12" s="3" t="s">
        <v>27</v>
      </c>
      <c r="J12" s="3" t="s">
        <v>28</v>
      </c>
      <c r="K12" s="3" t="s">
        <v>29</v>
      </c>
      <c r="L12" s="3"/>
      <c r="M12" s="4">
        <v>46237.732905092591</v>
      </c>
      <c r="N12" s="3" t="s">
        <v>30</v>
      </c>
    </row>
    <row r="13" spans="1:14">
      <c r="A13" s="3">
        <v>155031367</v>
      </c>
      <c r="B13" s="3" t="s">
        <v>21</v>
      </c>
      <c r="C13" s="3" t="s">
        <v>22</v>
      </c>
      <c r="D13" s="3" t="s">
        <v>31</v>
      </c>
      <c r="E13" s="3" t="s">
        <v>24</v>
      </c>
      <c r="F13" s="3" t="s">
        <v>47</v>
      </c>
      <c r="G13" s="3" t="s">
        <v>48</v>
      </c>
      <c r="H13" s="4">
        <v>46237.621238425927</v>
      </c>
      <c r="I13" s="3" t="s">
        <v>27</v>
      </c>
      <c r="J13" s="3" t="s">
        <v>28</v>
      </c>
      <c r="K13" s="3" t="s">
        <v>29</v>
      </c>
      <c r="L13" s="3"/>
      <c r="M13" s="4">
        <v>46237.712175925924</v>
      </c>
      <c r="N13" s="3" t="s">
        <v>30</v>
      </c>
    </row>
    <row r="14" spans="1:14">
      <c r="A14" s="3">
        <v>155049102</v>
      </c>
      <c r="B14" s="3" t="s">
        <v>21</v>
      </c>
      <c r="C14" s="3" t="s">
        <v>22</v>
      </c>
      <c r="D14" s="3" t="s">
        <v>49</v>
      </c>
      <c r="E14" s="3" t="s">
        <v>24</v>
      </c>
      <c r="F14" s="3" t="s">
        <v>50</v>
      </c>
      <c r="G14" s="3" t="s">
        <v>51</v>
      </c>
      <c r="H14" s="4">
        <v>46238.22378472222</v>
      </c>
      <c r="I14" s="3"/>
      <c r="J14" s="3"/>
      <c r="K14" s="3"/>
      <c r="L14" s="3"/>
      <c r="M14" s="4">
        <v>46238.331296296295</v>
      </c>
      <c r="N14" s="3" t="s">
        <v>30</v>
      </c>
    </row>
    <row r="15" spans="1:14">
      <c r="A15" s="3">
        <v>155058873</v>
      </c>
      <c r="B15" s="3" t="s">
        <v>21</v>
      </c>
      <c r="C15" s="3" t="s">
        <v>22</v>
      </c>
      <c r="D15" s="3" t="s">
        <v>52</v>
      </c>
      <c r="E15" s="3" t="s">
        <v>24</v>
      </c>
      <c r="F15" s="3" t="s">
        <v>53</v>
      </c>
      <c r="G15" s="3" t="s">
        <v>54</v>
      </c>
      <c r="H15" s="4">
        <v>46238.594513888886</v>
      </c>
      <c r="I15" s="3" t="s">
        <v>40</v>
      </c>
      <c r="J15" s="3" t="s">
        <v>41</v>
      </c>
      <c r="K15" s="3" t="s">
        <v>42</v>
      </c>
      <c r="L15" s="3" t="s">
        <v>43</v>
      </c>
      <c r="M15" s="4">
        <v>46239.302025462966</v>
      </c>
      <c r="N15" s="3" t="s">
        <v>44</v>
      </c>
    </row>
    <row r="16" spans="1:14">
      <c r="A16" s="3">
        <v>155070050</v>
      </c>
      <c r="B16" s="3" t="s">
        <v>21</v>
      </c>
      <c r="C16" s="3" t="s">
        <v>22</v>
      </c>
      <c r="D16" s="3" t="s">
        <v>55</v>
      </c>
      <c r="E16" s="3" t="s">
        <v>24</v>
      </c>
      <c r="F16" s="3" t="s">
        <v>56</v>
      </c>
      <c r="G16" s="3" t="s">
        <v>54</v>
      </c>
      <c r="H16" s="4">
        <v>46239.143009259256</v>
      </c>
      <c r="I16" s="3" t="s">
        <v>40</v>
      </c>
      <c r="J16" s="3" t="s">
        <v>41</v>
      </c>
      <c r="K16" s="3" t="s">
        <v>57</v>
      </c>
      <c r="L16" s="3"/>
      <c r="M16" s="4">
        <v>46239.324270833335</v>
      </c>
      <c r="N16" s="3" t="s">
        <v>44</v>
      </c>
    </row>
    <row r="17" spans="1:14">
      <c r="A17" s="3">
        <v>155069224</v>
      </c>
      <c r="B17" s="3" t="s">
        <v>21</v>
      </c>
      <c r="C17" s="3" t="s">
        <v>22</v>
      </c>
      <c r="D17" s="3" t="s">
        <v>58</v>
      </c>
      <c r="E17" s="3" t="s">
        <v>24</v>
      </c>
      <c r="F17" s="3" t="s">
        <v>59</v>
      </c>
      <c r="G17" s="3" t="s">
        <v>54</v>
      </c>
      <c r="H17" s="4">
        <v>46239.032800925925</v>
      </c>
      <c r="I17" s="3"/>
      <c r="J17" s="3"/>
      <c r="K17" s="3"/>
      <c r="L17" s="3"/>
      <c r="M17" s="4">
        <v>46239.142881944441</v>
      </c>
      <c r="N17" s="3" t="s">
        <v>30</v>
      </c>
    </row>
    <row r="18" spans="1:14">
      <c r="A18" s="3">
        <v>155058874</v>
      </c>
      <c r="B18" s="3" t="s">
        <v>21</v>
      </c>
      <c r="C18" s="3" t="s">
        <v>22</v>
      </c>
      <c r="D18" s="3" t="s">
        <v>60</v>
      </c>
      <c r="E18" s="3" t="s">
        <v>24</v>
      </c>
      <c r="F18" s="3" t="s">
        <v>61</v>
      </c>
      <c r="G18" s="3" t="s">
        <v>54</v>
      </c>
      <c r="H18" s="4">
        <v>46238.594513888886</v>
      </c>
      <c r="I18" s="3"/>
      <c r="J18" s="3"/>
      <c r="K18" s="3"/>
      <c r="L18" s="3"/>
      <c r="M18" s="4">
        <v>46238.701932870368</v>
      </c>
      <c r="N18" s="3" t="s">
        <v>30</v>
      </c>
    </row>
    <row r="19" spans="1:14">
      <c r="A19" s="3">
        <v>155070592</v>
      </c>
      <c r="B19" s="3" t="s">
        <v>21</v>
      </c>
      <c r="C19" s="3" t="s">
        <v>22</v>
      </c>
      <c r="D19" s="3" t="s">
        <v>49</v>
      </c>
      <c r="E19" s="3" t="s">
        <v>24</v>
      </c>
      <c r="F19" s="3" t="s">
        <v>62</v>
      </c>
      <c r="G19" s="3" t="s">
        <v>63</v>
      </c>
      <c r="H19" s="4">
        <v>46239.22515046296</v>
      </c>
      <c r="I19" s="3" t="s">
        <v>40</v>
      </c>
      <c r="J19" s="3" t="s">
        <v>41</v>
      </c>
      <c r="K19" s="3" t="s">
        <v>57</v>
      </c>
      <c r="L19" s="3"/>
      <c r="M19" s="4">
        <v>46239.32439814815</v>
      </c>
      <c r="N19" s="3" t="s">
        <v>44</v>
      </c>
    </row>
    <row r="20" spans="1:14">
      <c r="A20" s="3">
        <v>155093526</v>
      </c>
      <c r="B20" s="3" t="s">
        <v>21</v>
      </c>
      <c r="C20" s="3" t="s">
        <v>22</v>
      </c>
      <c r="D20" s="3" t="s">
        <v>49</v>
      </c>
      <c r="E20" s="3" t="s">
        <v>24</v>
      </c>
      <c r="F20" s="3" t="s">
        <v>64</v>
      </c>
      <c r="G20" s="3" t="s">
        <v>65</v>
      </c>
      <c r="H20" s="4">
        <v>46239.825069444443</v>
      </c>
      <c r="I20" s="3" t="s">
        <v>40</v>
      </c>
      <c r="J20" s="3" t="s">
        <v>41</v>
      </c>
      <c r="K20" s="3" t="s">
        <v>57</v>
      </c>
      <c r="L20" s="3"/>
      <c r="M20" s="4">
        <v>46240.270960648151</v>
      </c>
      <c r="N20" s="3" t="s">
        <v>44</v>
      </c>
    </row>
    <row r="21" spans="1:14">
      <c r="A21" s="3">
        <v>155090612</v>
      </c>
      <c r="B21" s="3" t="s">
        <v>21</v>
      </c>
      <c r="C21" s="3" t="s">
        <v>22</v>
      </c>
      <c r="D21" s="3" t="s">
        <v>23</v>
      </c>
      <c r="E21" s="3" t="s">
        <v>32</v>
      </c>
      <c r="F21" s="3" t="s">
        <v>66</v>
      </c>
      <c r="G21" s="3" t="s">
        <v>67</v>
      </c>
      <c r="H21" s="4">
        <v>46239.716678240744</v>
      </c>
      <c r="I21" s="3" t="s">
        <v>27</v>
      </c>
      <c r="J21" s="3" t="s">
        <v>35</v>
      </c>
      <c r="K21" s="3" t="s">
        <v>29</v>
      </c>
      <c r="L21" s="3"/>
      <c r="M21" s="4">
        <v>46239.762777777774</v>
      </c>
      <c r="N21" s="3" t="s">
        <v>30</v>
      </c>
    </row>
    <row r="22" spans="1:14">
      <c r="A22" s="3">
        <v>155090617</v>
      </c>
      <c r="B22" s="3" t="s">
        <v>21</v>
      </c>
      <c r="C22" s="3" t="s">
        <v>22</v>
      </c>
      <c r="D22" s="3" t="s">
        <v>31</v>
      </c>
      <c r="E22" s="3" t="s">
        <v>32</v>
      </c>
      <c r="F22" s="3" t="s">
        <v>68</v>
      </c>
      <c r="G22" s="3" t="s">
        <v>69</v>
      </c>
      <c r="H22" s="4">
        <v>46239.716863425929</v>
      </c>
      <c r="I22" s="3" t="s">
        <v>27</v>
      </c>
      <c r="J22" s="3" t="s">
        <v>35</v>
      </c>
      <c r="K22" s="3" t="s">
        <v>29</v>
      </c>
      <c r="L22" s="3"/>
      <c r="M22" s="4">
        <v>46239.762592592589</v>
      </c>
      <c r="N22" s="3" t="s">
        <v>30</v>
      </c>
    </row>
    <row r="23" spans="1:14">
      <c r="A23" s="3">
        <v>155097750</v>
      </c>
      <c r="B23" s="3" t="s">
        <v>21</v>
      </c>
      <c r="C23" s="3" t="s">
        <v>22</v>
      </c>
      <c r="D23" s="3" t="s">
        <v>70</v>
      </c>
      <c r="E23" s="3" t="s">
        <v>32</v>
      </c>
      <c r="F23" s="3" t="s">
        <v>71</v>
      </c>
      <c r="G23" s="3" t="s">
        <v>72</v>
      </c>
      <c r="H23" s="4">
        <v>46240.064479166664</v>
      </c>
      <c r="I23" s="3" t="s">
        <v>27</v>
      </c>
      <c r="J23" s="3" t="s">
        <v>35</v>
      </c>
      <c r="K23" s="3" t="s">
        <v>29</v>
      </c>
      <c r="L23" s="3"/>
      <c r="M23" s="4">
        <v>46240.231238425928</v>
      </c>
      <c r="N23" s="3" t="s">
        <v>30</v>
      </c>
    </row>
    <row r="24" spans="1:14">
      <c r="A24" s="3">
        <v>155097955</v>
      </c>
      <c r="B24" s="3" t="s">
        <v>21</v>
      </c>
      <c r="C24" s="3" t="s">
        <v>22</v>
      </c>
      <c r="D24" s="3" t="s">
        <v>73</v>
      </c>
      <c r="E24" s="3" t="s">
        <v>24</v>
      </c>
      <c r="F24" s="3" t="s">
        <v>74</v>
      </c>
      <c r="G24" s="3" t="s">
        <v>75</v>
      </c>
      <c r="H24" s="4">
        <v>46240.112476851849</v>
      </c>
      <c r="I24" s="3" t="s">
        <v>40</v>
      </c>
      <c r="J24" s="3" t="s">
        <v>41</v>
      </c>
      <c r="K24" s="3" t="s">
        <v>42</v>
      </c>
      <c r="L24" s="3" t="s">
        <v>43</v>
      </c>
      <c r="M24" s="4">
        <v>46240.271319444444</v>
      </c>
      <c r="N24" s="3" t="s">
        <v>44</v>
      </c>
    </row>
    <row r="25" spans="1:14">
      <c r="A25" s="3">
        <v>155108634</v>
      </c>
      <c r="B25" s="3" t="s">
        <v>76</v>
      </c>
      <c r="C25" s="3" t="s">
        <v>22</v>
      </c>
      <c r="D25" s="3" t="s">
        <v>77</v>
      </c>
      <c r="E25" s="3" t="s">
        <v>24</v>
      </c>
      <c r="F25" s="3" t="s">
        <v>78</v>
      </c>
      <c r="G25" s="3" t="s">
        <v>79</v>
      </c>
      <c r="H25" s="4">
        <v>46240.678240740737</v>
      </c>
      <c r="I25" s="3"/>
      <c r="J25" s="3"/>
      <c r="K25" s="3"/>
      <c r="L25" s="3"/>
      <c r="M25" s="4">
        <v>46240.789780092593</v>
      </c>
      <c r="N25" s="3" t="s">
        <v>30</v>
      </c>
    </row>
    <row r="26" spans="1:14">
      <c r="A26" s="3">
        <v>155107551</v>
      </c>
      <c r="B26" s="3" t="s">
        <v>21</v>
      </c>
      <c r="C26" s="3" t="s">
        <v>22</v>
      </c>
      <c r="D26" s="3" t="s">
        <v>80</v>
      </c>
      <c r="E26" s="3" t="s">
        <v>24</v>
      </c>
      <c r="F26" s="3" t="s">
        <v>81</v>
      </c>
      <c r="G26" s="3" t="s">
        <v>82</v>
      </c>
      <c r="H26" s="4">
        <v>46240.627395833333</v>
      </c>
      <c r="I26" s="3" t="s">
        <v>40</v>
      </c>
      <c r="J26" s="3" t="s">
        <v>41</v>
      </c>
      <c r="K26" s="3" t="s">
        <v>42</v>
      </c>
      <c r="L26" s="3" t="s">
        <v>43</v>
      </c>
      <c r="M26" s="4">
        <v>46241.320185185185</v>
      </c>
      <c r="N26" s="3" t="s">
        <v>44</v>
      </c>
    </row>
    <row r="27" spans="1:14">
      <c r="A27" s="3">
        <v>155111068</v>
      </c>
      <c r="B27" s="3" t="s">
        <v>21</v>
      </c>
      <c r="C27" s="3" t="s">
        <v>22</v>
      </c>
      <c r="D27" s="3" t="s">
        <v>83</v>
      </c>
      <c r="E27" s="3" t="s">
        <v>24</v>
      </c>
      <c r="F27" s="3" t="s">
        <v>84</v>
      </c>
      <c r="G27" s="3" t="s">
        <v>85</v>
      </c>
      <c r="H27" s="4">
        <v>46240.807488425926</v>
      </c>
      <c r="I27" s="3" t="s">
        <v>40</v>
      </c>
      <c r="J27" s="3" t="s">
        <v>41</v>
      </c>
      <c r="K27" s="3" t="s">
        <v>57</v>
      </c>
      <c r="L27" s="3"/>
      <c r="M27" s="4">
        <v>46241.319201388891</v>
      </c>
      <c r="N27" s="3" t="s">
        <v>44</v>
      </c>
    </row>
    <row r="28" spans="1:14">
      <c r="A28" s="3">
        <v>155107595</v>
      </c>
      <c r="B28" s="3" t="s">
        <v>21</v>
      </c>
      <c r="C28" s="3" t="s">
        <v>22</v>
      </c>
      <c r="D28" s="3" t="s">
        <v>60</v>
      </c>
      <c r="E28" s="3" t="s">
        <v>24</v>
      </c>
      <c r="F28" s="3" t="s">
        <v>86</v>
      </c>
      <c r="G28" s="3" t="s">
        <v>85</v>
      </c>
      <c r="H28" s="4">
        <v>46240.631053240744</v>
      </c>
      <c r="I28" s="3" t="s">
        <v>40</v>
      </c>
      <c r="J28" s="3" t="s">
        <v>41</v>
      </c>
      <c r="K28" s="3" t="s">
        <v>42</v>
      </c>
      <c r="L28" s="3" t="s">
        <v>43</v>
      </c>
      <c r="M28" s="4">
        <v>46241.319722222222</v>
      </c>
      <c r="N28" s="3" t="s">
        <v>44</v>
      </c>
    </row>
    <row r="29" spans="1:14">
      <c r="A29" s="3">
        <v>155113948</v>
      </c>
      <c r="B29" s="3" t="s">
        <v>21</v>
      </c>
      <c r="C29" s="3" t="s">
        <v>22</v>
      </c>
      <c r="D29" s="3" t="s">
        <v>49</v>
      </c>
      <c r="E29" s="3" t="s">
        <v>24</v>
      </c>
      <c r="F29" s="3" t="s">
        <v>87</v>
      </c>
      <c r="G29" s="3" t="s">
        <v>88</v>
      </c>
      <c r="H29" s="4">
        <v>46241.226851851854</v>
      </c>
      <c r="I29" s="3" t="s">
        <v>40</v>
      </c>
      <c r="J29" s="3" t="s">
        <v>41</v>
      </c>
      <c r="K29" s="3" t="s">
        <v>42</v>
      </c>
      <c r="L29" s="3" t="s">
        <v>43</v>
      </c>
      <c r="M29" s="4">
        <v>46241.469097222223</v>
      </c>
      <c r="N29" s="3" t="s">
        <v>44</v>
      </c>
    </row>
    <row r="30" spans="1:14">
      <c r="A30" s="3">
        <v>155114212</v>
      </c>
      <c r="B30" s="3" t="s">
        <v>21</v>
      </c>
      <c r="C30" s="3" t="s">
        <v>22</v>
      </c>
      <c r="D30" s="3" t="s">
        <v>73</v>
      </c>
      <c r="E30" s="3" t="s">
        <v>24</v>
      </c>
      <c r="F30" s="3" t="s">
        <v>89</v>
      </c>
      <c r="G30" s="3" t="s">
        <v>90</v>
      </c>
      <c r="H30" s="4">
        <v>46241.293449074074</v>
      </c>
      <c r="I30" s="3" t="s">
        <v>40</v>
      </c>
      <c r="J30" s="3" t="s">
        <v>41</v>
      </c>
      <c r="K30" s="3" t="s">
        <v>42</v>
      </c>
      <c r="L30" s="3" t="s">
        <v>43</v>
      </c>
      <c r="M30" s="4">
        <v>46241.469247685185</v>
      </c>
      <c r="N30" s="3" t="s">
        <v>44</v>
      </c>
    </row>
    <row r="31" spans="1:14">
      <c r="A31" s="3">
        <v>155129972</v>
      </c>
      <c r="B31" s="3" t="s">
        <v>21</v>
      </c>
      <c r="C31" s="3" t="s">
        <v>22</v>
      </c>
      <c r="D31" s="3" t="s">
        <v>23</v>
      </c>
      <c r="E31" s="3" t="s">
        <v>32</v>
      </c>
      <c r="F31" s="3" t="s">
        <v>91</v>
      </c>
      <c r="G31" s="3" t="s">
        <v>92</v>
      </c>
      <c r="H31" s="4">
        <v>46241.446944444448</v>
      </c>
      <c r="I31" s="3" t="s">
        <v>27</v>
      </c>
      <c r="J31" s="3" t="s">
        <v>35</v>
      </c>
      <c r="K31" s="3" t="s">
        <v>29</v>
      </c>
      <c r="L31" s="3"/>
      <c r="M31" s="4">
        <v>46241.447962962964</v>
      </c>
      <c r="N31" s="3" t="s">
        <v>30</v>
      </c>
    </row>
    <row r="32" spans="1:14">
      <c r="A32" s="3">
        <v>155130224</v>
      </c>
      <c r="B32" s="3" t="s">
        <v>21</v>
      </c>
      <c r="C32" s="3" t="s">
        <v>22</v>
      </c>
      <c r="D32" s="3" t="s">
        <v>23</v>
      </c>
      <c r="E32" s="3" t="s">
        <v>24</v>
      </c>
      <c r="F32" s="3" t="s">
        <v>93</v>
      </c>
      <c r="G32" s="3" t="s">
        <v>94</v>
      </c>
      <c r="H32" s="4">
        <v>46241.451805555553</v>
      </c>
      <c r="I32" s="3" t="s">
        <v>27</v>
      </c>
      <c r="J32" s="3" t="s">
        <v>28</v>
      </c>
      <c r="K32" s="3"/>
      <c r="L32" s="3"/>
      <c r="M32" s="4">
        <v>46244.276203703703</v>
      </c>
      <c r="N32" s="3" t="s">
        <v>44</v>
      </c>
    </row>
    <row r="33" spans="1:14">
      <c r="A33" s="3">
        <v>155155018</v>
      </c>
      <c r="B33" s="3" t="s">
        <v>76</v>
      </c>
      <c r="C33" s="3" t="s">
        <v>22</v>
      </c>
      <c r="D33" s="3" t="s">
        <v>95</v>
      </c>
      <c r="E33" s="3" t="s">
        <v>24</v>
      </c>
      <c r="F33" s="3" t="s">
        <v>96</v>
      </c>
      <c r="G33" s="3" t="s">
        <v>97</v>
      </c>
      <c r="H33" s="4">
        <v>46241.695196759261</v>
      </c>
      <c r="I33" s="3" t="s">
        <v>27</v>
      </c>
      <c r="J33" s="3" t="s">
        <v>28</v>
      </c>
      <c r="K33" s="3" t="s">
        <v>29</v>
      </c>
      <c r="L33" s="3"/>
      <c r="M33" s="4">
        <v>46241.710543981484</v>
      </c>
      <c r="N33" s="3" t="s">
        <v>30</v>
      </c>
    </row>
  </sheetData>
  <mergeCells count="6">
    <mergeCell ref="A6:D6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workbookViewId="0"/>
  </sheetViews>
  <sheetFormatPr defaultRowHeight="15"/>
  <cols>
    <col min="1" max="1" width="15" bestFit="1" customWidth="1"/>
    <col min="2" max="2" width="28.140625" bestFit="1" customWidth="1"/>
    <col min="3" max="3" width="10.140625" bestFit="1" customWidth="1"/>
    <col min="4" max="4" width="28.5703125" bestFit="1" customWidth="1"/>
    <col min="5" max="5" width="9.28515625" bestFit="1" customWidth="1"/>
    <col min="6" max="6" width="68.42578125" bestFit="1" customWidth="1"/>
    <col min="7" max="7" width="13.5703125" bestFit="1" customWidth="1"/>
    <col min="8" max="8" width="16.28515625" bestFit="1" customWidth="1"/>
    <col min="9" max="9" width="25.28515625" bestFit="1" customWidth="1"/>
    <col min="10" max="10" width="29.28515625" bestFit="1" customWidth="1"/>
    <col min="11" max="11" width="36.140625" bestFit="1" customWidth="1"/>
    <col min="12" max="12" width="11" bestFit="1" customWidth="1"/>
  </cols>
  <sheetData>
    <row r="1" spans="1:15">
      <c r="A1" s="20" t="s">
        <v>98</v>
      </c>
      <c r="B1" s="21"/>
      <c r="C1" s="21"/>
      <c r="D1" s="21"/>
    </row>
    <row r="2" spans="1:15">
      <c r="A2" s="20" t="s">
        <v>1</v>
      </c>
      <c r="B2" s="21"/>
      <c r="C2" s="21"/>
      <c r="D2" s="21"/>
    </row>
    <row r="3" spans="1:15">
      <c r="A3" s="20" t="s">
        <v>2</v>
      </c>
      <c r="B3" s="21"/>
      <c r="C3" s="21"/>
      <c r="D3" s="21"/>
    </row>
    <row r="4" spans="1:15">
      <c r="A4" s="20" t="s">
        <v>3</v>
      </c>
      <c r="B4" s="21"/>
      <c r="C4" s="21"/>
      <c r="D4" s="21"/>
    </row>
    <row r="5" spans="1:15">
      <c r="A5" s="20" t="s">
        <v>4</v>
      </c>
      <c r="B5" s="21"/>
      <c r="C5" s="21"/>
      <c r="D5" s="21"/>
    </row>
    <row r="6" spans="1:15">
      <c r="A6" s="20" t="s">
        <v>5</v>
      </c>
      <c r="B6" s="21"/>
      <c r="C6" s="21"/>
      <c r="D6" s="21"/>
    </row>
    <row r="7" spans="1:15">
      <c r="A7" s="1" t="s">
        <v>6</v>
      </c>
    </row>
    <row r="8" spans="1:1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99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  <c r="O8" s="2" t="s">
        <v>20</v>
      </c>
    </row>
    <row r="9" spans="1:15">
      <c r="A9" s="3">
        <v>155030325</v>
      </c>
      <c r="B9" s="3" t="s">
        <v>21</v>
      </c>
      <c r="C9" s="3" t="s">
        <v>22</v>
      </c>
      <c r="D9" s="3" t="s">
        <v>100</v>
      </c>
      <c r="E9" s="3" t="s">
        <v>101</v>
      </c>
      <c r="F9" s="3" t="s">
        <v>26</v>
      </c>
      <c r="G9" s="3" t="s">
        <v>6</v>
      </c>
      <c r="H9" s="4">
        <v>46237.464826388888</v>
      </c>
      <c r="I9" s="4" t="s">
        <v>102</v>
      </c>
      <c r="J9" s="3" t="s">
        <v>27</v>
      </c>
      <c r="K9" s="3" t="s">
        <v>28</v>
      </c>
      <c r="L9" s="3"/>
      <c r="M9" s="3"/>
      <c r="N9" s="4">
        <v>46237.617997685185</v>
      </c>
      <c r="O9" s="3" t="s">
        <v>30</v>
      </c>
    </row>
    <row r="10" spans="1:15">
      <c r="A10" s="3">
        <v>155030327</v>
      </c>
      <c r="B10" s="3" t="s">
        <v>21</v>
      </c>
      <c r="C10" s="3" t="s">
        <v>22</v>
      </c>
      <c r="D10" s="3" t="s">
        <v>103</v>
      </c>
      <c r="E10" s="3" t="s">
        <v>32</v>
      </c>
      <c r="F10" s="3" t="s">
        <v>34</v>
      </c>
      <c r="G10" s="3" t="s">
        <v>6</v>
      </c>
      <c r="H10" s="4">
        <v>46237.46497685185</v>
      </c>
      <c r="I10" s="4" t="s">
        <v>102</v>
      </c>
      <c r="J10" s="3" t="s">
        <v>27</v>
      </c>
      <c r="K10" s="3" t="s">
        <v>35</v>
      </c>
      <c r="L10" s="3"/>
      <c r="M10" s="3"/>
      <c r="N10" s="4">
        <v>46237.620219907411</v>
      </c>
      <c r="O10" s="3" t="s">
        <v>30</v>
      </c>
    </row>
    <row r="11" spans="1:15">
      <c r="A11" s="3">
        <v>155030940</v>
      </c>
      <c r="B11" s="3" t="s">
        <v>36</v>
      </c>
      <c r="C11" s="3" t="s">
        <v>22</v>
      </c>
      <c r="D11" s="3" t="s">
        <v>104</v>
      </c>
      <c r="E11" s="3" t="s">
        <v>101</v>
      </c>
      <c r="F11" s="3" t="s">
        <v>39</v>
      </c>
      <c r="G11" s="3" t="s">
        <v>6</v>
      </c>
      <c r="H11" s="4">
        <v>46237.531331018516</v>
      </c>
      <c r="I11" s="4" t="s">
        <v>102</v>
      </c>
      <c r="J11" s="3" t="s">
        <v>40</v>
      </c>
      <c r="K11" s="3" t="s">
        <v>41</v>
      </c>
      <c r="L11" s="3"/>
      <c r="M11" s="3"/>
      <c r="N11" s="4">
        <v>46237.709594907406</v>
      </c>
      <c r="O11" s="3" t="s">
        <v>30</v>
      </c>
    </row>
    <row r="12" spans="1:15">
      <c r="A12" s="3">
        <v>155031291</v>
      </c>
      <c r="B12" s="3" t="s">
        <v>21</v>
      </c>
      <c r="C12" s="3" t="s">
        <v>22</v>
      </c>
      <c r="D12" s="3" t="s">
        <v>100</v>
      </c>
      <c r="E12" s="3" t="s">
        <v>101</v>
      </c>
      <c r="F12" s="3" t="s">
        <v>46</v>
      </c>
      <c r="G12" s="3" t="s">
        <v>6</v>
      </c>
      <c r="H12" s="4">
        <v>46237.619953703703</v>
      </c>
      <c r="I12" s="4" t="s">
        <v>102</v>
      </c>
      <c r="J12" s="3" t="s">
        <v>27</v>
      </c>
      <c r="K12" s="3" t="s">
        <v>28</v>
      </c>
      <c r="L12" s="3"/>
      <c r="M12" s="3"/>
      <c r="N12" s="4">
        <v>46237.733298611114</v>
      </c>
      <c r="O12" s="3" t="s">
        <v>30</v>
      </c>
    </row>
    <row r="13" spans="1:15">
      <c r="A13" s="3">
        <v>155031300</v>
      </c>
      <c r="B13" s="3" t="s">
        <v>21</v>
      </c>
      <c r="C13" s="3" t="s">
        <v>22</v>
      </c>
      <c r="D13" s="3" t="s">
        <v>103</v>
      </c>
      <c r="E13" s="3" t="s">
        <v>101</v>
      </c>
      <c r="F13" s="3" t="s">
        <v>48</v>
      </c>
      <c r="G13" s="3" t="s">
        <v>6</v>
      </c>
      <c r="H13" s="4">
        <v>46237.620219907411</v>
      </c>
      <c r="I13" s="4" t="s">
        <v>102</v>
      </c>
      <c r="J13" s="3" t="s">
        <v>27</v>
      </c>
      <c r="K13" s="3" t="s">
        <v>28</v>
      </c>
      <c r="L13" s="3"/>
      <c r="M13" s="3"/>
      <c r="N13" s="4">
        <v>46237.712638888886</v>
      </c>
      <c r="O13" s="3" t="s">
        <v>30</v>
      </c>
    </row>
    <row r="14" spans="1:15">
      <c r="A14" s="3">
        <v>155043299</v>
      </c>
      <c r="B14" s="3" t="s">
        <v>21</v>
      </c>
      <c r="C14" s="3" t="s">
        <v>22</v>
      </c>
      <c r="D14" s="3" t="s">
        <v>105</v>
      </c>
      <c r="E14" s="3" t="s">
        <v>101</v>
      </c>
      <c r="F14" s="3" t="s">
        <v>51</v>
      </c>
      <c r="G14" s="3" t="s">
        <v>6</v>
      </c>
      <c r="H14" s="4">
        <v>46237.919236111113</v>
      </c>
      <c r="I14" s="4" t="s">
        <v>102</v>
      </c>
      <c r="J14" s="3" t="s">
        <v>106</v>
      </c>
      <c r="K14" s="3" t="s">
        <v>106</v>
      </c>
      <c r="L14" s="3"/>
      <c r="M14" s="3"/>
      <c r="N14" s="4">
        <v>46238.331666666665</v>
      </c>
      <c r="O14" s="3" t="s">
        <v>30</v>
      </c>
    </row>
    <row r="15" spans="1:15">
      <c r="A15" s="3">
        <v>155055293</v>
      </c>
      <c r="B15" s="3" t="s">
        <v>21</v>
      </c>
      <c r="C15" s="3" t="s">
        <v>22</v>
      </c>
      <c r="D15" s="3" t="s">
        <v>107</v>
      </c>
      <c r="E15" s="3" t="s">
        <v>108</v>
      </c>
      <c r="F15" s="3" t="s">
        <v>54</v>
      </c>
      <c r="G15" s="3" t="s">
        <v>6</v>
      </c>
      <c r="H15" s="4">
        <v>46238.52275462963</v>
      </c>
      <c r="I15" s="4" t="s">
        <v>102</v>
      </c>
      <c r="J15" s="3" t="s">
        <v>109</v>
      </c>
      <c r="K15" s="3" t="s">
        <v>110</v>
      </c>
      <c r="L15" s="3"/>
      <c r="M15" s="3"/>
      <c r="N15" s="4" t="s">
        <v>6</v>
      </c>
      <c r="O15" s="3"/>
    </row>
    <row r="16" spans="1:15">
      <c r="A16" s="3">
        <v>155067831</v>
      </c>
      <c r="B16" s="3" t="s">
        <v>21</v>
      </c>
      <c r="C16" s="3" t="s">
        <v>22</v>
      </c>
      <c r="D16" s="3" t="s">
        <v>105</v>
      </c>
      <c r="E16" s="3" t="s">
        <v>101</v>
      </c>
      <c r="F16" s="3" t="s">
        <v>63</v>
      </c>
      <c r="G16" s="3" t="s">
        <v>6</v>
      </c>
      <c r="H16" s="4">
        <v>46238.919733796298</v>
      </c>
      <c r="I16" s="4" t="s">
        <v>102</v>
      </c>
      <c r="J16" s="3" t="s">
        <v>40</v>
      </c>
      <c r="K16" s="3" t="s">
        <v>41</v>
      </c>
      <c r="L16" s="3"/>
      <c r="M16" s="3"/>
      <c r="N16" s="4">
        <v>46239.286273148151</v>
      </c>
      <c r="O16" s="3" t="s">
        <v>30</v>
      </c>
    </row>
    <row r="17" spans="1:15">
      <c r="A17" s="3">
        <v>155077880</v>
      </c>
      <c r="B17" s="3" t="s">
        <v>21</v>
      </c>
      <c r="C17" s="3" t="s">
        <v>22</v>
      </c>
      <c r="D17" s="3" t="s">
        <v>105</v>
      </c>
      <c r="E17" s="3" t="s">
        <v>101</v>
      </c>
      <c r="F17" s="3" t="s">
        <v>65</v>
      </c>
      <c r="G17" s="3" t="s">
        <v>6</v>
      </c>
      <c r="H17" s="4">
        <v>46239.522187499999</v>
      </c>
      <c r="I17" s="4" t="s">
        <v>102</v>
      </c>
      <c r="J17" s="3" t="s">
        <v>40</v>
      </c>
      <c r="K17" s="3" t="s">
        <v>41</v>
      </c>
      <c r="L17" s="3"/>
      <c r="M17" s="3"/>
      <c r="N17" s="4">
        <v>46239.934791666667</v>
      </c>
      <c r="O17" s="3" t="s">
        <v>30</v>
      </c>
    </row>
    <row r="18" spans="1:15">
      <c r="A18" s="3">
        <v>155090589</v>
      </c>
      <c r="B18" s="3" t="s">
        <v>21</v>
      </c>
      <c r="C18" s="3" t="s">
        <v>22</v>
      </c>
      <c r="D18" s="3" t="s">
        <v>100</v>
      </c>
      <c r="E18" s="3" t="s">
        <v>32</v>
      </c>
      <c r="F18" s="3" t="s">
        <v>67</v>
      </c>
      <c r="G18" s="3" t="s">
        <v>6</v>
      </c>
      <c r="H18" s="4">
        <v>46239.715624999997</v>
      </c>
      <c r="I18" s="4" t="s">
        <v>102</v>
      </c>
      <c r="J18" s="3" t="s">
        <v>27</v>
      </c>
      <c r="K18" s="3" t="s">
        <v>35</v>
      </c>
      <c r="L18" s="3"/>
      <c r="M18" s="3"/>
      <c r="N18" s="4">
        <v>46239.763043981482</v>
      </c>
      <c r="O18" s="3" t="s">
        <v>30</v>
      </c>
    </row>
    <row r="19" spans="1:15">
      <c r="A19" s="3">
        <v>155090595</v>
      </c>
      <c r="B19" s="3" t="s">
        <v>21</v>
      </c>
      <c r="C19" s="3" t="s">
        <v>22</v>
      </c>
      <c r="D19" s="3" t="s">
        <v>103</v>
      </c>
      <c r="E19" s="3" t="s">
        <v>32</v>
      </c>
      <c r="F19" s="3" t="s">
        <v>69</v>
      </c>
      <c r="G19" s="3" t="s">
        <v>6</v>
      </c>
      <c r="H19" s="4">
        <v>46239.715798611112</v>
      </c>
      <c r="I19" s="4" t="s">
        <v>102</v>
      </c>
      <c r="J19" s="3" t="s">
        <v>27</v>
      </c>
      <c r="K19" s="3" t="s">
        <v>35</v>
      </c>
      <c r="L19" s="3"/>
      <c r="M19" s="3"/>
      <c r="N19" s="4">
        <v>46239.762835648151</v>
      </c>
      <c r="O19" s="3" t="s">
        <v>30</v>
      </c>
    </row>
    <row r="20" spans="1:15">
      <c r="A20" s="3">
        <v>155092435</v>
      </c>
      <c r="B20" s="3" t="s">
        <v>21</v>
      </c>
      <c r="C20" s="3" t="s">
        <v>22</v>
      </c>
      <c r="D20" s="3" t="s">
        <v>103</v>
      </c>
      <c r="E20" s="3" t="s">
        <v>32</v>
      </c>
      <c r="F20" s="3" t="s">
        <v>72</v>
      </c>
      <c r="G20" s="3" t="s">
        <v>6</v>
      </c>
      <c r="H20" s="4">
        <v>46239.76284722222</v>
      </c>
      <c r="I20" s="4" t="s">
        <v>102</v>
      </c>
      <c r="J20" s="3" t="s">
        <v>27</v>
      </c>
      <c r="K20" s="3" t="s">
        <v>35</v>
      </c>
      <c r="L20" s="3"/>
      <c r="M20" s="3"/>
      <c r="N20" s="4">
        <v>46240.231631944444</v>
      </c>
      <c r="O20" s="3" t="s">
        <v>30</v>
      </c>
    </row>
    <row r="21" spans="1:15">
      <c r="A21" s="3">
        <v>155092438</v>
      </c>
      <c r="B21" s="3" t="s">
        <v>21</v>
      </c>
      <c r="C21" s="3" t="s">
        <v>22</v>
      </c>
      <c r="D21" s="3" t="s">
        <v>100</v>
      </c>
      <c r="E21" s="3" t="s">
        <v>101</v>
      </c>
      <c r="F21" s="3" t="s">
        <v>75</v>
      </c>
      <c r="G21" s="3" t="s">
        <v>6</v>
      </c>
      <c r="H21" s="4">
        <v>46239.763043981482</v>
      </c>
      <c r="I21" s="4" t="s">
        <v>102</v>
      </c>
      <c r="J21" s="3" t="s">
        <v>40</v>
      </c>
      <c r="K21" s="3" t="s">
        <v>41</v>
      </c>
      <c r="L21" s="3"/>
      <c r="M21" s="3"/>
      <c r="N21" s="4">
        <v>46240.337164351855</v>
      </c>
      <c r="O21" s="3" t="s">
        <v>30</v>
      </c>
    </row>
    <row r="22" spans="1:15">
      <c r="A22" s="3">
        <v>155100753</v>
      </c>
      <c r="B22" s="3" t="s">
        <v>76</v>
      </c>
      <c r="C22" s="3" t="s">
        <v>22</v>
      </c>
      <c r="D22" s="3" t="s">
        <v>111</v>
      </c>
      <c r="E22" s="3" t="s">
        <v>101</v>
      </c>
      <c r="F22" s="3" t="s">
        <v>79</v>
      </c>
      <c r="G22" s="3" t="s">
        <v>6</v>
      </c>
      <c r="H22" s="4">
        <v>46240.45821759259</v>
      </c>
      <c r="I22" s="4" t="s">
        <v>102</v>
      </c>
      <c r="J22" s="3" t="s">
        <v>106</v>
      </c>
      <c r="K22" s="3" t="s">
        <v>106</v>
      </c>
      <c r="L22" s="3"/>
      <c r="M22" s="3"/>
      <c r="N22" s="4">
        <v>46240.790219907409</v>
      </c>
      <c r="O22" s="3" t="s">
        <v>30</v>
      </c>
    </row>
    <row r="23" spans="1:15">
      <c r="A23" s="3">
        <v>155105514</v>
      </c>
      <c r="B23" s="3" t="s">
        <v>21</v>
      </c>
      <c r="C23" s="3" t="s">
        <v>22</v>
      </c>
      <c r="D23" s="3" t="s">
        <v>112</v>
      </c>
      <c r="E23" s="3" t="s">
        <v>101</v>
      </c>
      <c r="F23" s="3" t="s">
        <v>82</v>
      </c>
      <c r="G23" s="3" t="s">
        <v>6</v>
      </c>
      <c r="H23" s="4">
        <v>46240.554525462961</v>
      </c>
      <c r="I23" s="4" t="s">
        <v>102</v>
      </c>
      <c r="J23" s="3" t="s">
        <v>40</v>
      </c>
      <c r="K23" s="3" t="s">
        <v>41</v>
      </c>
      <c r="L23" s="3"/>
      <c r="M23" s="3"/>
      <c r="N23" s="4">
        <v>46240.734618055554</v>
      </c>
      <c r="O23" s="3" t="s">
        <v>30</v>
      </c>
    </row>
    <row r="24" spans="1:15">
      <c r="A24" s="3">
        <v>155105681</v>
      </c>
      <c r="B24" s="3" t="s">
        <v>21</v>
      </c>
      <c r="C24" s="3" t="s">
        <v>22</v>
      </c>
      <c r="D24" s="3" t="s">
        <v>107</v>
      </c>
      <c r="E24" s="3" t="s">
        <v>108</v>
      </c>
      <c r="F24" s="3" t="s">
        <v>85</v>
      </c>
      <c r="G24" s="3" t="s">
        <v>6</v>
      </c>
      <c r="H24" s="4">
        <v>46240.559328703705</v>
      </c>
      <c r="I24" s="4" t="s">
        <v>102</v>
      </c>
      <c r="J24" s="3" t="s">
        <v>40</v>
      </c>
      <c r="K24" s="3" t="s">
        <v>41</v>
      </c>
      <c r="L24" s="3"/>
      <c r="M24" s="3"/>
      <c r="N24" s="4" t="s">
        <v>6</v>
      </c>
      <c r="O24" s="3"/>
    </row>
    <row r="25" spans="1:15">
      <c r="A25" s="3">
        <v>155111895</v>
      </c>
      <c r="B25" s="3" t="s">
        <v>21</v>
      </c>
      <c r="C25" s="3" t="s">
        <v>22</v>
      </c>
      <c r="D25" s="3" t="s">
        <v>105</v>
      </c>
      <c r="E25" s="3" t="s">
        <v>101</v>
      </c>
      <c r="F25" s="3" t="s">
        <v>88</v>
      </c>
      <c r="G25" s="3" t="s">
        <v>6</v>
      </c>
      <c r="H25" s="4">
        <v>46240.919814814813</v>
      </c>
      <c r="I25" s="4" t="s">
        <v>102</v>
      </c>
      <c r="J25" s="3" t="s">
        <v>40</v>
      </c>
      <c r="K25" s="3" t="s">
        <v>41</v>
      </c>
      <c r="L25" s="3"/>
      <c r="M25" s="3"/>
      <c r="N25" s="4">
        <v>46241.334606481483</v>
      </c>
      <c r="O25" s="3" t="s">
        <v>30</v>
      </c>
    </row>
    <row r="26" spans="1:15">
      <c r="A26" s="3">
        <v>155112196</v>
      </c>
      <c r="B26" s="3" t="s">
        <v>21</v>
      </c>
      <c r="C26" s="3" t="s">
        <v>22</v>
      </c>
      <c r="D26" s="3" t="s">
        <v>100</v>
      </c>
      <c r="E26" s="3" t="s">
        <v>101</v>
      </c>
      <c r="F26" s="3" t="s">
        <v>90</v>
      </c>
      <c r="G26" s="3" t="s">
        <v>6</v>
      </c>
      <c r="H26" s="4">
        <v>46240.944143518522</v>
      </c>
      <c r="I26" s="4" t="s">
        <v>102</v>
      </c>
      <c r="J26" s="3" t="s">
        <v>40</v>
      </c>
      <c r="K26" s="3" t="s">
        <v>41</v>
      </c>
      <c r="L26" s="3"/>
      <c r="M26" s="3"/>
      <c r="N26" s="4">
        <v>46241.407083333332</v>
      </c>
      <c r="O26" s="3" t="s">
        <v>30</v>
      </c>
    </row>
    <row r="27" spans="1:15">
      <c r="A27" s="3">
        <v>155129916</v>
      </c>
      <c r="B27" s="3" t="s">
        <v>21</v>
      </c>
      <c r="C27" s="3" t="s">
        <v>22</v>
      </c>
      <c r="D27" s="3" t="s">
        <v>100</v>
      </c>
      <c r="E27" s="3" t="s">
        <v>32</v>
      </c>
      <c r="F27" s="3" t="s">
        <v>92</v>
      </c>
      <c r="G27" s="3" t="s">
        <v>6</v>
      </c>
      <c r="H27" s="4">
        <v>46241.445891203701</v>
      </c>
      <c r="I27" s="4" t="s">
        <v>102</v>
      </c>
      <c r="J27" s="3" t="s">
        <v>27</v>
      </c>
      <c r="K27" s="3" t="s">
        <v>35</v>
      </c>
      <c r="L27" s="3"/>
      <c r="M27" s="3"/>
      <c r="N27" s="4">
        <v>46241.448240740741</v>
      </c>
      <c r="O27" s="3" t="s">
        <v>30</v>
      </c>
    </row>
    <row r="28" spans="1:15">
      <c r="A28" s="3">
        <v>155130118</v>
      </c>
      <c r="B28" s="3" t="s">
        <v>21</v>
      </c>
      <c r="C28" s="3" t="s">
        <v>22</v>
      </c>
      <c r="D28" s="3" t="s">
        <v>100</v>
      </c>
      <c r="E28" s="3" t="s">
        <v>101</v>
      </c>
      <c r="F28" s="3" t="s">
        <v>94</v>
      </c>
      <c r="G28" s="3" t="s">
        <v>6</v>
      </c>
      <c r="H28" s="4">
        <v>46241.450694444444</v>
      </c>
      <c r="I28" s="4" t="s">
        <v>102</v>
      </c>
      <c r="J28" s="3" t="s">
        <v>27</v>
      </c>
      <c r="K28" s="3" t="s">
        <v>28</v>
      </c>
      <c r="L28" s="3"/>
      <c r="M28" s="3"/>
      <c r="N28" s="4">
        <v>46241.68173611111</v>
      </c>
      <c r="O28" s="3" t="s">
        <v>30</v>
      </c>
    </row>
    <row r="29" spans="1:15">
      <c r="A29" s="3">
        <v>155154961</v>
      </c>
      <c r="B29" s="3" t="s">
        <v>76</v>
      </c>
      <c r="C29" s="3" t="s">
        <v>22</v>
      </c>
      <c r="D29" s="3" t="s">
        <v>111</v>
      </c>
      <c r="E29" s="3" t="s">
        <v>101</v>
      </c>
      <c r="F29" s="3" t="s">
        <v>97</v>
      </c>
      <c r="G29" s="3" t="s">
        <v>6</v>
      </c>
      <c r="H29" s="4">
        <v>46241.694027777776</v>
      </c>
      <c r="I29" s="4" t="s">
        <v>102</v>
      </c>
      <c r="J29" s="3" t="s">
        <v>27</v>
      </c>
      <c r="K29" s="3" t="s">
        <v>28</v>
      </c>
      <c r="L29" s="3"/>
      <c r="M29" s="3"/>
      <c r="N29" s="4">
        <v>46241.710960648146</v>
      </c>
      <c r="O29" s="3" t="s">
        <v>30</v>
      </c>
    </row>
  </sheetData>
  <mergeCells count="6">
    <mergeCell ref="A6:D6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/>
  </sheetViews>
  <sheetFormatPr defaultRowHeight="15"/>
  <cols>
    <col min="1" max="1" width="15" bestFit="1" customWidth="1"/>
    <col min="2" max="2" width="28.140625" bestFit="1" customWidth="1"/>
    <col min="3" max="3" width="10.140625" bestFit="1" customWidth="1"/>
    <col min="4" max="4" width="78.85546875" bestFit="1" customWidth="1"/>
    <col min="5" max="5" width="10" bestFit="1" customWidth="1"/>
    <col min="6" max="6" width="117.7109375" bestFit="1" customWidth="1"/>
    <col min="7" max="7" width="68.42578125" bestFit="1" customWidth="1"/>
    <col min="8" max="8" width="16.28515625" bestFit="1" customWidth="1"/>
    <col min="9" max="9" width="24" bestFit="1" customWidth="1"/>
    <col min="10" max="10" width="30.85546875" bestFit="1" customWidth="1"/>
    <col min="11" max="11" width="70.140625" bestFit="1" customWidth="1"/>
  </cols>
  <sheetData>
    <row r="1" spans="1:14">
      <c r="A1" s="20" t="s">
        <v>113</v>
      </c>
      <c r="B1" s="21"/>
      <c r="C1" s="21"/>
      <c r="D1" s="21"/>
    </row>
    <row r="2" spans="1:14">
      <c r="A2" s="20" t="s">
        <v>1</v>
      </c>
      <c r="B2" s="21"/>
      <c r="C2" s="21"/>
      <c r="D2" s="21"/>
    </row>
    <row r="3" spans="1:14">
      <c r="A3" s="20" t="s">
        <v>2</v>
      </c>
      <c r="B3" s="21"/>
      <c r="C3" s="21"/>
      <c r="D3" s="21"/>
    </row>
    <row r="4" spans="1:14">
      <c r="A4" s="20" t="s">
        <v>3</v>
      </c>
      <c r="B4" s="21"/>
      <c r="C4" s="21"/>
      <c r="D4" s="21"/>
    </row>
    <row r="5" spans="1:14">
      <c r="A5" s="20" t="s">
        <v>4</v>
      </c>
      <c r="B5" s="21"/>
      <c r="C5" s="21"/>
      <c r="D5" s="21"/>
    </row>
    <row r="6" spans="1:14">
      <c r="A6" s="20" t="s">
        <v>5</v>
      </c>
      <c r="B6" s="21"/>
      <c r="C6" s="21"/>
      <c r="D6" s="21"/>
    </row>
    <row r="7" spans="1:14">
      <c r="A7" s="1" t="s">
        <v>6</v>
      </c>
    </row>
    <row r="8" spans="1:14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</row>
    <row r="9" spans="1:14">
      <c r="A9" s="3">
        <v>155030349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4">
        <v>46237.46597222222</v>
      </c>
      <c r="I9" s="3" t="s">
        <v>27</v>
      </c>
      <c r="J9" s="3" t="s">
        <v>28</v>
      </c>
      <c r="K9" s="3" t="s">
        <v>29</v>
      </c>
      <c r="L9" s="3"/>
      <c r="M9" s="4">
        <v>46237.617638888885</v>
      </c>
      <c r="N9" s="3" t="s">
        <v>30</v>
      </c>
    </row>
    <row r="10" spans="1:14">
      <c r="A10" s="3">
        <v>155030355</v>
      </c>
      <c r="B10" s="3" t="s">
        <v>21</v>
      </c>
      <c r="C10" s="3" t="s">
        <v>22</v>
      </c>
      <c r="D10" s="3" t="s">
        <v>31</v>
      </c>
      <c r="E10" s="3" t="s">
        <v>32</v>
      </c>
      <c r="F10" s="3" t="s">
        <v>33</v>
      </c>
      <c r="G10" s="3" t="s">
        <v>34</v>
      </c>
      <c r="H10" s="4">
        <v>46237.466087962966</v>
      </c>
      <c r="I10" s="3" t="s">
        <v>27</v>
      </c>
      <c r="J10" s="3" t="s">
        <v>35</v>
      </c>
      <c r="K10" s="3" t="s">
        <v>29</v>
      </c>
      <c r="L10" s="3"/>
      <c r="M10" s="4">
        <v>46237.620243055557</v>
      </c>
      <c r="N10" s="3" t="s">
        <v>30</v>
      </c>
    </row>
    <row r="11" spans="1:14">
      <c r="A11" s="3">
        <v>155031157</v>
      </c>
      <c r="B11" s="3" t="s">
        <v>36</v>
      </c>
      <c r="C11" s="3" t="s">
        <v>22</v>
      </c>
      <c r="D11" s="3" t="s">
        <v>37</v>
      </c>
      <c r="E11" s="3" t="s">
        <v>24</v>
      </c>
      <c r="F11" s="3" t="s">
        <v>38</v>
      </c>
      <c r="G11" s="3" t="s">
        <v>39</v>
      </c>
      <c r="H11" s="4">
        <v>46237.599942129629</v>
      </c>
      <c r="I11" s="3" t="s">
        <v>40</v>
      </c>
      <c r="J11" s="3" t="s">
        <v>41</v>
      </c>
      <c r="K11" s="3" t="s">
        <v>42</v>
      </c>
      <c r="L11" s="3" t="s">
        <v>43</v>
      </c>
      <c r="M11" s="4">
        <v>46238.291354166664</v>
      </c>
      <c r="N11" s="3" t="s">
        <v>44</v>
      </c>
    </row>
    <row r="12" spans="1:14">
      <c r="A12" s="3">
        <v>155031332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45</v>
      </c>
      <c r="G12" s="3" t="s">
        <v>46</v>
      </c>
      <c r="H12" s="4">
        <v>46237.620949074073</v>
      </c>
      <c r="I12" s="3" t="s">
        <v>27</v>
      </c>
      <c r="J12" s="3" t="s">
        <v>28</v>
      </c>
      <c r="K12" s="3" t="s">
        <v>29</v>
      </c>
      <c r="L12" s="3"/>
      <c r="M12" s="4">
        <v>46237.732905092591</v>
      </c>
      <c r="N12" s="3" t="s">
        <v>30</v>
      </c>
    </row>
    <row r="13" spans="1:14">
      <c r="A13" s="3">
        <v>155031367</v>
      </c>
      <c r="B13" s="3" t="s">
        <v>21</v>
      </c>
      <c r="C13" s="3" t="s">
        <v>22</v>
      </c>
      <c r="D13" s="3" t="s">
        <v>31</v>
      </c>
      <c r="E13" s="3" t="s">
        <v>24</v>
      </c>
      <c r="F13" s="3" t="s">
        <v>47</v>
      </c>
      <c r="G13" s="3" t="s">
        <v>48</v>
      </c>
      <c r="H13" s="4">
        <v>46237.621238425927</v>
      </c>
      <c r="I13" s="3" t="s">
        <v>27</v>
      </c>
      <c r="J13" s="3" t="s">
        <v>28</v>
      </c>
      <c r="K13" s="3" t="s">
        <v>29</v>
      </c>
      <c r="L13" s="3"/>
      <c r="M13" s="4">
        <v>46237.712175925924</v>
      </c>
      <c r="N13" s="3" t="s">
        <v>30</v>
      </c>
    </row>
    <row r="14" spans="1:14">
      <c r="A14" s="3">
        <v>155049102</v>
      </c>
      <c r="B14" s="3" t="s">
        <v>21</v>
      </c>
      <c r="C14" s="3" t="s">
        <v>22</v>
      </c>
      <c r="D14" s="3" t="s">
        <v>49</v>
      </c>
      <c r="E14" s="3" t="s">
        <v>24</v>
      </c>
      <c r="F14" s="3" t="s">
        <v>50</v>
      </c>
      <c r="G14" s="3" t="s">
        <v>51</v>
      </c>
      <c r="H14" s="4">
        <v>46238.22378472222</v>
      </c>
      <c r="I14" s="3"/>
      <c r="J14" s="3"/>
      <c r="K14" s="3"/>
      <c r="L14" s="3"/>
      <c r="M14" s="4">
        <v>46238.331296296295</v>
      </c>
      <c r="N14" s="3" t="s">
        <v>30</v>
      </c>
    </row>
    <row r="15" spans="1:14">
      <c r="A15" s="3">
        <v>155058873</v>
      </c>
      <c r="B15" s="3" t="s">
        <v>21</v>
      </c>
      <c r="C15" s="3" t="s">
        <v>22</v>
      </c>
      <c r="D15" s="3" t="s">
        <v>52</v>
      </c>
      <c r="E15" s="3" t="s">
        <v>24</v>
      </c>
      <c r="F15" s="3" t="s">
        <v>53</v>
      </c>
      <c r="G15" s="3" t="s">
        <v>54</v>
      </c>
      <c r="H15" s="4">
        <v>46238.594513888886</v>
      </c>
      <c r="I15" s="3" t="s">
        <v>40</v>
      </c>
      <c r="J15" s="3" t="s">
        <v>41</v>
      </c>
      <c r="K15" s="3" t="s">
        <v>42</v>
      </c>
      <c r="L15" s="3" t="s">
        <v>43</v>
      </c>
      <c r="M15" s="4">
        <v>46239.302025462966</v>
      </c>
      <c r="N15" s="3" t="s">
        <v>44</v>
      </c>
    </row>
    <row r="16" spans="1:14">
      <c r="A16" s="3">
        <v>155070050</v>
      </c>
      <c r="B16" s="3" t="s">
        <v>21</v>
      </c>
      <c r="C16" s="3" t="s">
        <v>22</v>
      </c>
      <c r="D16" s="3" t="s">
        <v>55</v>
      </c>
      <c r="E16" s="3" t="s">
        <v>24</v>
      </c>
      <c r="F16" s="3" t="s">
        <v>56</v>
      </c>
      <c r="G16" s="3" t="s">
        <v>54</v>
      </c>
      <c r="H16" s="4">
        <v>46239.143009259256</v>
      </c>
      <c r="I16" s="3" t="s">
        <v>40</v>
      </c>
      <c r="J16" s="3" t="s">
        <v>41</v>
      </c>
      <c r="K16" s="3" t="s">
        <v>57</v>
      </c>
      <c r="L16" s="3"/>
      <c r="M16" s="4">
        <v>46239.324270833335</v>
      </c>
      <c r="N16" s="3" t="s">
        <v>44</v>
      </c>
    </row>
    <row r="17" spans="1:14">
      <c r="A17" s="3">
        <v>155069224</v>
      </c>
      <c r="B17" s="3" t="s">
        <v>21</v>
      </c>
      <c r="C17" s="3" t="s">
        <v>22</v>
      </c>
      <c r="D17" s="3" t="s">
        <v>58</v>
      </c>
      <c r="E17" s="3" t="s">
        <v>24</v>
      </c>
      <c r="F17" s="3" t="s">
        <v>59</v>
      </c>
      <c r="G17" s="3" t="s">
        <v>54</v>
      </c>
      <c r="H17" s="4">
        <v>46239.032800925925</v>
      </c>
      <c r="I17" s="3"/>
      <c r="J17" s="3"/>
      <c r="K17" s="3"/>
      <c r="L17" s="3"/>
      <c r="M17" s="4">
        <v>46239.142881944441</v>
      </c>
      <c r="N17" s="3" t="s">
        <v>30</v>
      </c>
    </row>
    <row r="18" spans="1:14">
      <c r="A18" s="3">
        <v>155058874</v>
      </c>
      <c r="B18" s="3" t="s">
        <v>21</v>
      </c>
      <c r="C18" s="3" t="s">
        <v>22</v>
      </c>
      <c r="D18" s="3" t="s">
        <v>60</v>
      </c>
      <c r="E18" s="3" t="s">
        <v>24</v>
      </c>
      <c r="F18" s="3" t="s">
        <v>61</v>
      </c>
      <c r="G18" s="3" t="s">
        <v>54</v>
      </c>
      <c r="H18" s="4">
        <v>46238.594513888886</v>
      </c>
      <c r="I18" s="3"/>
      <c r="J18" s="3"/>
      <c r="K18" s="3"/>
      <c r="L18" s="3"/>
      <c r="M18" s="4">
        <v>46238.701932870368</v>
      </c>
      <c r="N18" s="3" t="s">
        <v>30</v>
      </c>
    </row>
    <row r="19" spans="1:14">
      <c r="A19" s="3">
        <v>155070592</v>
      </c>
      <c r="B19" s="3" t="s">
        <v>21</v>
      </c>
      <c r="C19" s="3" t="s">
        <v>22</v>
      </c>
      <c r="D19" s="3" t="s">
        <v>49</v>
      </c>
      <c r="E19" s="3" t="s">
        <v>24</v>
      </c>
      <c r="F19" s="3" t="s">
        <v>62</v>
      </c>
      <c r="G19" s="3" t="s">
        <v>63</v>
      </c>
      <c r="H19" s="4">
        <v>46239.22515046296</v>
      </c>
      <c r="I19" s="3" t="s">
        <v>40</v>
      </c>
      <c r="J19" s="3" t="s">
        <v>41</v>
      </c>
      <c r="K19" s="3" t="s">
        <v>57</v>
      </c>
      <c r="L19" s="3"/>
      <c r="M19" s="4">
        <v>46239.32439814815</v>
      </c>
      <c r="N19" s="3" t="s">
        <v>44</v>
      </c>
    </row>
    <row r="20" spans="1:14">
      <c r="A20" s="3">
        <v>155093526</v>
      </c>
      <c r="B20" s="3" t="s">
        <v>21</v>
      </c>
      <c r="C20" s="3" t="s">
        <v>22</v>
      </c>
      <c r="D20" s="3" t="s">
        <v>49</v>
      </c>
      <c r="E20" s="3" t="s">
        <v>24</v>
      </c>
      <c r="F20" s="3" t="s">
        <v>64</v>
      </c>
      <c r="G20" s="3" t="s">
        <v>65</v>
      </c>
      <c r="H20" s="4">
        <v>46239.825069444443</v>
      </c>
      <c r="I20" s="3" t="s">
        <v>40</v>
      </c>
      <c r="J20" s="3" t="s">
        <v>41</v>
      </c>
      <c r="K20" s="3" t="s">
        <v>57</v>
      </c>
      <c r="L20" s="3"/>
      <c r="M20" s="4">
        <v>46240.270960648151</v>
      </c>
      <c r="N20" s="3" t="s">
        <v>44</v>
      </c>
    </row>
    <row r="21" spans="1:14">
      <c r="A21" s="3">
        <v>155090612</v>
      </c>
      <c r="B21" s="3" t="s">
        <v>21</v>
      </c>
      <c r="C21" s="3" t="s">
        <v>22</v>
      </c>
      <c r="D21" s="3" t="s">
        <v>23</v>
      </c>
      <c r="E21" s="3" t="s">
        <v>32</v>
      </c>
      <c r="F21" s="3" t="s">
        <v>66</v>
      </c>
      <c r="G21" s="3" t="s">
        <v>67</v>
      </c>
      <c r="H21" s="4">
        <v>46239.716678240744</v>
      </c>
      <c r="I21" s="3" t="s">
        <v>27</v>
      </c>
      <c r="J21" s="3" t="s">
        <v>35</v>
      </c>
      <c r="K21" s="3" t="s">
        <v>29</v>
      </c>
      <c r="L21" s="3"/>
      <c r="M21" s="4">
        <v>46239.762777777774</v>
      </c>
      <c r="N21" s="3" t="s">
        <v>30</v>
      </c>
    </row>
    <row r="22" spans="1:14">
      <c r="A22" s="3">
        <v>155090617</v>
      </c>
      <c r="B22" s="3" t="s">
        <v>21</v>
      </c>
      <c r="C22" s="3" t="s">
        <v>22</v>
      </c>
      <c r="D22" s="3" t="s">
        <v>31</v>
      </c>
      <c r="E22" s="3" t="s">
        <v>32</v>
      </c>
      <c r="F22" s="3" t="s">
        <v>68</v>
      </c>
      <c r="G22" s="3" t="s">
        <v>69</v>
      </c>
      <c r="H22" s="4">
        <v>46239.716863425929</v>
      </c>
      <c r="I22" s="3" t="s">
        <v>27</v>
      </c>
      <c r="J22" s="3" t="s">
        <v>35</v>
      </c>
      <c r="K22" s="3" t="s">
        <v>29</v>
      </c>
      <c r="L22" s="3"/>
      <c r="M22" s="4">
        <v>46239.762592592589</v>
      </c>
      <c r="N22" s="3" t="s">
        <v>30</v>
      </c>
    </row>
    <row r="23" spans="1:14">
      <c r="A23" s="3">
        <v>155097750</v>
      </c>
      <c r="B23" s="3" t="s">
        <v>21</v>
      </c>
      <c r="C23" s="3" t="s">
        <v>22</v>
      </c>
      <c r="D23" s="3" t="s">
        <v>70</v>
      </c>
      <c r="E23" s="3" t="s">
        <v>32</v>
      </c>
      <c r="F23" s="3" t="s">
        <v>71</v>
      </c>
      <c r="G23" s="3" t="s">
        <v>72</v>
      </c>
      <c r="H23" s="4">
        <v>46240.064479166664</v>
      </c>
      <c r="I23" s="3" t="s">
        <v>27</v>
      </c>
      <c r="J23" s="3" t="s">
        <v>35</v>
      </c>
      <c r="K23" s="3" t="s">
        <v>29</v>
      </c>
      <c r="L23" s="3"/>
      <c r="M23" s="4">
        <v>46240.231238425928</v>
      </c>
      <c r="N23" s="3" t="s">
        <v>30</v>
      </c>
    </row>
    <row r="24" spans="1:14">
      <c r="A24" s="3">
        <v>155097955</v>
      </c>
      <c r="B24" s="3" t="s">
        <v>21</v>
      </c>
      <c r="C24" s="3" t="s">
        <v>22</v>
      </c>
      <c r="D24" s="3" t="s">
        <v>73</v>
      </c>
      <c r="E24" s="3" t="s">
        <v>24</v>
      </c>
      <c r="F24" s="3" t="s">
        <v>74</v>
      </c>
      <c r="G24" s="3" t="s">
        <v>75</v>
      </c>
      <c r="H24" s="4">
        <v>46240.112476851849</v>
      </c>
      <c r="I24" s="3" t="s">
        <v>40</v>
      </c>
      <c r="J24" s="3" t="s">
        <v>41</v>
      </c>
      <c r="K24" s="3" t="s">
        <v>42</v>
      </c>
      <c r="L24" s="3" t="s">
        <v>43</v>
      </c>
      <c r="M24" s="4">
        <v>46240.271319444444</v>
      </c>
      <c r="N24" s="3" t="s">
        <v>44</v>
      </c>
    </row>
    <row r="25" spans="1:14">
      <c r="A25" s="3">
        <v>155108634</v>
      </c>
      <c r="B25" s="3" t="s">
        <v>76</v>
      </c>
      <c r="C25" s="3" t="s">
        <v>22</v>
      </c>
      <c r="D25" s="3" t="s">
        <v>77</v>
      </c>
      <c r="E25" s="3" t="s">
        <v>24</v>
      </c>
      <c r="F25" s="3" t="s">
        <v>78</v>
      </c>
      <c r="G25" s="3" t="s">
        <v>79</v>
      </c>
      <c r="H25" s="4">
        <v>46240.678240740737</v>
      </c>
      <c r="I25" s="3"/>
      <c r="J25" s="3"/>
      <c r="K25" s="3"/>
      <c r="L25" s="3"/>
      <c r="M25" s="4">
        <v>46240.789780092593</v>
      </c>
      <c r="N25" s="3" t="s">
        <v>30</v>
      </c>
    </row>
    <row r="26" spans="1:14">
      <c r="A26" s="3">
        <v>155107551</v>
      </c>
      <c r="B26" s="3" t="s">
        <v>21</v>
      </c>
      <c r="C26" s="3" t="s">
        <v>22</v>
      </c>
      <c r="D26" s="3" t="s">
        <v>80</v>
      </c>
      <c r="E26" s="3" t="s">
        <v>24</v>
      </c>
      <c r="F26" s="3" t="s">
        <v>81</v>
      </c>
      <c r="G26" s="3" t="s">
        <v>82</v>
      </c>
      <c r="H26" s="4">
        <v>46240.627395833333</v>
      </c>
      <c r="I26" s="3" t="s">
        <v>40</v>
      </c>
      <c r="J26" s="3" t="s">
        <v>41</v>
      </c>
      <c r="K26" s="3" t="s">
        <v>42</v>
      </c>
      <c r="L26" s="3" t="s">
        <v>43</v>
      </c>
      <c r="M26" s="4">
        <v>46241.320185185185</v>
      </c>
      <c r="N26" s="3" t="s">
        <v>44</v>
      </c>
    </row>
    <row r="27" spans="1:14">
      <c r="A27" s="3">
        <v>155111068</v>
      </c>
      <c r="B27" s="3" t="s">
        <v>21</v>
      </c>
      <c r="C27" s="3" t="s">
        <v>22</v>
      </c>
      <c r="D27" s="3" t="s">
        <v>83</v>
      </c>
      <c r="E27" s="3" t="s">
        <v>24</v>
      </c>
      <c r="F27" s="3" t="s">
        <v>84</v>
      </c>
      <c r="G27" s="3" t="s">
        <v>85</v>
      </c>
      <c r="H27" s="4">
        <v>46240.807488425926</v>
      </c>
      <c r="I27" s="3" t="s">
        <v>40</v>
      </c>
      <c r="J27" s="3" t="s">
        <v>41</v>
      </c>
      <c r="K27" s="3" t="s">
        <v>57</v>
      </c>
      <c r="L27" s="3"/>
      <c r="M27" s="4">
        <v>46241.319201388891</v>
      </c>
      <c r="N27" s="3" t="s">
        <v>44</v>
      </c>
    </row>
    <row r="28" spans="1:14">
      <c r="A28" s="3">
        <v>155107595</v>
      </c>
      <c r="B28" s="3" t="s">
        <v>21</v>
      </c>
      <c r="C28" s="3" t="s">
        <v>22</v>
      </c>
      <c r="D28" s="3" t="s">
        <v>60</v>
      </c>
      <c r="E28" s="3" t="s">
        <v>24</v>
      </c>
      <c r="F28" s="3" t="s">
        <v>86</v>
      </c>
      <c r="G28" s="3" t="s">
        <v>85</v>
      </c>
      <c r="H28" s="4">
        <v>46240.631053240744</v>
      </c>
      <c r="I28" s="3" t="s">
        <v>40</v>
      </c>
      <c r="J28" s="3" t="s">
        <v>41</v>
      </c>
      <c r="K28" s="3" t="s">
        <v>42</v>
      </c>
      <c r="L28" s="3" t="s">
        <v>43</v>
      </c>
      <c r="M28" s="4">
        <v>46241.319722222222</v>
      </c>
      <c r="N28" s="3" t="s">
        <v>44</v>
      </c>
    </row>
    <row r="29" spans="1:14">
      <c r="A29" s="3">
        <v>155113948</v>
      </c>
      <c r="B29" s="3" t="s">
        <v>21</v>
      </c>
      <c r="C29" s="3" t="s">
        <v>22</v>
      </c>
      <c r="D29" s="3" t="s">
        <v>49</v>
      </c>
      <c r="E29" s="3" t="s">
        <v>24</v>
      </c>
      <c r="F29" s="3" t="s">
        <v>87</v>
      </c>
      <c r="G29" s="3" t="s">
        <v>88</v>
      </c>
      <c r="H29" s="4">
        <v>46241.226851851854</v>
      </c>
      <c r="I29" s="3" t="s">
        <v>40</v>
      </c>
      <c r="J29" s="3" t="s">
        <v>41</v>
      </c>
      <c r="K29" s="3" t="s">
        <v>42</v>
      </c>
      <c r="L29" s="3" t="s">
        <v>43</v>
      </c>
      <c r="M29" s="4">
        <v>46241.469097222223</v>
      </c>
      <c r="N29" s="3" t="s">
        <v>44</v>
      </c>
    </row>
    <row r="30" spans="1:14">
      <c r="A30" s="3">
        <v>155114212</v>
      </c>
      <c r="B30" s="3" t="s">
        <v>21</v>
      </c>
      <c r="C30" s="3" t="s">
        <v>22</v>
      </c>
      <c r="D30" s="3" t="s">
        <v>73</v>
      </c>
      <c r="E30" s="3" t="s">
        <v>24</v>
      </c>
      <c r="F30" s="3" t="s">
        <v>89</v>
      </c>
      <c r="G30" s="3" t="s">
        <v>90</v>
      </c>
      <c r="H30" s="4">
        <v>46241.293449074074</v>
      </c>
      <c r="I30" s="3" t="s">
        <v>40</v>
      </c>
      <c r="J30" s="3" t="s">
        <v>41</v>
      </c>
      <c r="K30" s="3" t="s">
        <v>42</v>
      </c>
      <c r="L30" s="3" t="s">
        <v>43</v>
      </c>
      <c r="M30" s="4">
        <v>46241.469247685185</v>
      </c>
      <c r="N30" s="3" t="s">
        <v>44</v>
      </c>
    </row>
    <row r="31" spans="1:14">
      <c r="A31" s="3">
        <v>155129972</v>
      </c>
      <c r="B31" s="3" t="s">
        <v>21</v>
      </c>
      <c r="C31" s="3" t="s">
        <v>22</v>
      </c>
      <c r="D31" s="3" t="s">
        <v>23</v>
      </c>
      <c r="E31" s="3" t="s">
        <v>32</v>
      </c>
      <c r="F31" s="3" t="s">
        <v>91</v>
      </c>
      <c r="G31" s="3" t="s">
        <v>92</v>
      </c>
      <c r="H31" s="4">
        <v>46241.446944444448</v>
      </c>
      <c r="I31" s="3" t="s">
        <v>27</v>
      </c>
      <c r="J31" s="3" t="s">
        <v>35</v>
      </c>
      <c r="K31" s="3" t="s">
        <v>29</v>
      </c>
      <c r="L31" s="3"/>
      <c r="M31" s="4">
        <v>46241.447962962964</v>
      </c>
      <c r="N31" s="3" t="s">
        <v>30</v>
      </c>
    </row>
    <row r="32" spans="1:14">
      <c r="A32" s="3">
        <v>155130224</v>
      </c>
      <c r="B32" s="3" t="s">
        <v>21</v>
      </c>
      <c r="C32" s="3" t="s">
        <v>22</v>
      </c>
      <c r="D32" s="3" t="s">
        <v>23</v>
      </c>
      <c r="E32" s="3" t="s">
        <v>24</v>
      </c>
      <c r="F32" s="3" t="s">
        <v>93</v>
      </c>
      <c r="G32" s="3" t="s">
        <v>94</v>
      </c>
      <c r="H32" s="4">
        <v>46241.451805555553</v>
      </c>
      <c r="I32" s="3" t="s">
        <v>27</v>
      </c>
      <c r="J32" s="3" t="s">
        <v>28</v>
      </c>
      <c r="K32" s="3"/>
      <c r="L32" s="3"/>
      <c r="M32" s="4">
        <v>46244.276203703703</v>
      </c>
      <c r="N32" s="3" t="s">
        <v>44</v>
      </c>
    </row>
    <row r="33" spans="1:14">
      <c r="A33" s="3">
        <v>155155018</v>
      </c>
      <c r="B33" s="3" t="s">
        <v>76</v>
      </c>
      <c r="C33" s="3" t="s">
        <v>22</v>
      </c>
      <c r="D33" s="3" t="s">
        <v>95</v>
      </c>
      <c r="E33" s="3" t="s">
        <v>24</v>
      </c>
      <c r="F33" s="3" t="s">
        <v>96</v>
      </c>
      <c r="G33" s="3" t="s">
        <v>97</v>
      </c>
      <c r="H33" s="4">
        <v>46241.695196759261</v>
      </c>
      <c r="I33" s="3" t="s">
        <v>27</v>
      </c>
      <c r="J33" s="3" t="s">
        <v>28</v>
      </c>
      <c r="K33" s="3" t="s">
        <v>29</v>
      </c>
      <c r="L33" s="3"/>
      <c r="M33" s="4">
        <v>46241.710543981484</v>
      </c>
      <c r="N33" s="3" t="s">
        <v>30</v>
      </c>
    </row>
  </sheetData>
  <mergeCells count="6">
    <mergeCell ref="A6:D6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3"/>
  <sheetViews>
    <sheetView workbookViewId="0"/>
  </sheetViews>
  <sheetFormatPr defaultRowHeight="15"/>
  <cols>
    <col min="1" max="6" width="12" customWidth="1"/>
    <col min="10" max="10" width="110" customWidth="1"/>
  </cols>
  <sheetData>
    <row r="2" spans="1:10">
      <c r="A2" s="2" t="s">
        <v>114</v>
      </c>
      <c r="J2" s="2" t="s">
        <v>115</v>
      </c>
    </row>
    <row r="3" spans="1:10">
      <c r="A3" s="2" t="s">
        <v>116</v>
      </c>
      <c r="B3" s="2" t="s">
        <v>108</v>
      </c>
      <c r="C3" s="2" t="s">
        <v>101</v>
      </c>
      <c r="D3" s="2" t="s">
        <v>32</v>
      </c>
      <c r="E3" s="2" t="s">
        <v>117</v>
      </c>
    </row>
    <row r="4" spans="1:10">
      <c r="A4" s="16">
        <v>46237</v>
      </c>
      <c r="B4" s="3">
        <v>0</v>
      </c>
      <c r="C4" s="3">
        <v>5</v>
      </c>
      <c r="D4" s="3">
        <v>1</v>
      </c>
      <c r="E4" s="3"/>
    </row>
    <row r="5" spans="1:10">
      <c r="A5" s="16">
        <v>46238</v>
      </c>
      <c r="B5" s="3">
        <v>6</v>
      </c>
      <c r="C5" s="3">
        <v>1</v>
      </c>
      <c r="D5" s="3">
        <v>0</v>
      </c>
      <c r="E5" s="3"/>
    </row>
    <row r="6" spans="1:10">
      <c r="A6" s="16">
        <v>46239</v>
      </c>
      <c r="B6" s="3">
        <v>4</v>
      </c>
      <c r="C6" s="3">
        <v>2</v>
      </c>
      <c r="D6" s="3">
        <v>4</v>
      </c>
      <c r="E6" s="3"/>
    </row>
    <row r="7" spans="1:10">
      <c r="A7" s="16">
        <v>46240</v>
      </c>
      <c r="B7" s="3">
        <v>4</v>
      </c>
      <c r="C7" s="3">
        <v>4</v>
      </c>
      <c r="D7" s="3">
        <v>0</v>
      </c>
      <c r="E7" s="3"/>
    </row>
    <row r="8" spans="1:10">
      <c r="A8" s="16">
        <v>46241</v>
      </c>
      <c r="B8" s="3">
        <v>6</v>
      </c>
      <c r="C8" s="3">
        <v>3</v>
      </c>
      <c r="D8" s="3">
        <v>1</v>
      </c>
      <c r="E8" s="3"/>
    </row>
    <row r="9" spans="1:10">
      <c r="A9" s="16">
        <v>46242</v>
      </c>
      <c r="B9" s="3">
        <v>4</v>
      </c>
      <c r="C9" s="3">
        <v>1</v>
      </c>
      <c r="D9" s="3">
        <v>0</v>
      </c>
      <c r="E9" s="3"/>
    </row>
    <row r="10" spans="1:10">
      <c r="A10" s="16">
        <v>46243</v>
      </c>
      <c r="B10" s="3">
        <v>4</v>
      </c>
      <c r="C10" s="3">
        <v>0</v>
      </c>
      <c r="D10" s="3">
        <v>0</v>
      </c>
      <c r="E10" s="3">
        <v>1</v>
      </c>
    </row>
    <row r="12" spans="1:10">
      <c r="A12" s="2" t="s">
        <v>118</v>
      </c>
    </row>
    <row r="13" spans="1:10">
      <c r="A13" s="2" t="s">
        <v>116</v>
      </c>
      <c r="B13" s="2" t="s">
        <v>108</v>
      </c>
      <c r="C13" s="2" t="s">
        <v>24</v>
      </c>
      <c r="D13" s="2" t="s">
        <v>101</v>
      </c>
      <c r="E13" s="2" t="s">
        <v>32</v>
      </c>
      <c r="F13" s="2" t="s">
        <v>117</v>
      </c>
    </row>
    <row r="14" spans="1:10">
      <c r="A14" s="16">
        <v>46237</v>
      </c>
      <c r="B14" s="3">
        <v>6</v>
      </c>
      <c r="C14" s="3">
        <v>8</v>
      </c>
      <c r="D14" s="3">
        <v>0</v>
      </c>
      <c r="E14" s="3">
        <v>2</v>
      </c>
      <c r="F14" s="3"/>
    </row>
    <row r="15" spans="1:10">
      <c r="A15" s="16">
        <v>46238</v>
      </c>
      <c r="B15" s="3">
        <v>31</v>
      </c>
      <c r="C15" s="3">
        <v>3</v>
      </c>
      <c r="D15" s="3">
        <v>0</v>
      </c>
      <c r="E15" s="3">
        <v>0</v>
      </c>
      <c r="F15" s="3"/>
    </row>
    <row r="16" spans="1:10">
      <c r="A16" s="16">
        <v>46239</v>
      </c>
      <c r="B16" s="3">
        <v>30</v>
      </c>
      <c r="C16" s="3">
        <v>4</v>
      </c>
      <c r="D16" s="3">
        <v>0</v>
      </c>
      <c r="E16" s="3">
        <v>5</v>
      </c>
      <c r="F16" s="3"/>
    </row>
    <row r="17" spans="1:10">
      <c r="A17" s="16">
        <v>46240</v>
      </c>
      <c r="B17" s="3">
        <v>42</v>
      </c>
      <c r="C17" s="3">
        <v>5</v>
      </c>
      <c r="D17" s="3">
        <v>0</v>
      </c>
      <c r="E17" s="3">
        <v>1</v>
      </c>
      <c r="F17" s="3"/>
    </row>
    <row r="18" spans="1:10">
      <c r="A18" s="16">
        <v>46241</v>
      </c>
      <c r="B18" s="3">
        <v>31</v>
      </c>
      <c r="C18" s="3">
        <v>7</v>
      </c>
      <c r="D18" s="3">
        <v>0</v>
      </c>
      <c r="E18" s="3">
        <v>2</v>
      </c>
      <c r="F18" s="3"/>
    </row>
    <row r="19" spans="1:10">
      <c r="A19" s="16">
        <v>46242</v>
      </c>
      <c r="B19" s="3">
        <v>24</v>
      </c>
      <c r="C19" s="3">
        <v>1</v>
      </c>
      <c r="D19" s="3">
        <v>0</v>
      </c>
      <c r="E19" s="3">
        <v>0</v>
      </c>
      <c r="F19" s="3"/>
    </row>
    <row r="20" spans="1:10">
      <c r="A20" s="16">
        <v>46243</v>
      </c>
      <c r="B20" s="3">
        <v>21</v>
      </c>
      <c r="C20" s="3">
        <v>0</v>
      </c>
      <c r="D20" s="3">
        <v>0</v>
      </c>
      <c r="E20" s="3">
        <v>0</v>
      </c>
      <c r="F20" s="3"/>
    </row>
    <row r="21" spans="1:10">
      <c r="A21" s="16">
        <v>46244</v>
      </c>
      <c r="B21" s="3">
        <v>2</v>
      </c>
      <c r="C21" s="3">
        <v>0</v>
      </c>
      <c r="D21" s="3">
        <v>0</v>
      </c>
      <c r="E21" s="3">
        <v>0</v>
      </c>
      <c r="F21" s="3">
        <v>1</v>
      </c>
    </row>
    <row r="23" spans="1:10">
      <c r="A23" s="2" t="s">
        <v>119</v>
      </c>
      <c r="J23" s="22" t="s">
        <v>120</v>
      </c>
    </row>
    <row r="24" spans="1:10">
      <c r="A24" s="2" t="s">
        <v>116</v>
      </c>
      <c r="B24" s="2" t="s">
        <v>108</v>
      </c>
      <c r="C24" s="2" t="s">
        <v>101</v>
      </c>
      <c r="D24" s="2" t="s">
        <v>32</v>
      </c>
      <c r="E24" s="2" t="s">
        <v>117</v>
      </c>
      <c r="J24" s="21"/>
    </row>
    <row r="25" spans="1:10">
      <c r="A25" s="16">
        <v>46237</v>
      </c>
      <c r="B25" s="3">
        <v>0</v>
      </c>
      <c r="C25" s="3">
        <v>5</v>
      </c>
      <c r="D25" s="3">
        <v>1</v>
      </c>
      <c r="E25" s="3">
        <v>0</v>
      </c>
      <c r="J25" s="21"/>
    </row>
    <row r="26" spans="1:10">
      <c r="A26" s="16">
        <v>46238</v>
      </c>
      <c r="B26" s="3">
        <v>2</v>
      </c>
      <c r="C26" s="3">
        <v>1</v>
      </c>
      <c r="D26" s="3">
        <v>0</v>
      </c>
      <c r="E26" s="3">
        <v>0</v>
      </c>
      <c r="J26" s="21"/>
    </row>
    <row r="27" spans="1:10">
      <c r="A27" s="16">
        <v>46239</v>
      </c>
      <c r="B27" s="3">
        <v>0</v>
      </c>
      <c r="C27" s="3">
        <v>2</v>
      </c>
      <c r="D27" s="3">
        <v>3</v>
      </c>
      <c r="E27" s="3">
        <v>0</v>
      </c>
      <c r="J27" s="21"/>
    </row>
    <row r="28" spans="1:10">
      <c r="A28" s="16">
        <v>46240</v>
      </c>
      <c r="B28" s="3">
        <v>4</v>
      </c>
      <c r="C28" s="3">
        <v>4</v>
      </c>
      <c r="D28" s="3">
        <v>0</v>
      </c>
      <c r="E28" s="3">
        <v>0</v>
      </c>
    </row>
    <row r="29" spans="1:10">
      <c r="A29" s="16">
        <v>46241</v>
      </c>
      <c r="B29" s="3">
        <v>3</v>
      </c>
      <c r="C29" s="3">
        <v>2</v>
      </c>
      <c r="D29" s="3">
        <v>1</v>
      </c>
      <c r="E29" s="3">
        <v>0</v>
      </c>
    </row>
    <row r="30" spans="1:10">
      <c r="A30" s="16">
        <v>46242</v>
      </c>
      <c r="B30" s="3">
        <v>1</v>
      </c>
      <c r="C30" s="3">
        <v>0</v>
      </c>
      <c r="D30" s="3">
        <v>0</v>
      </c>
      <c r="E30" s="3">
        <v>0</v>
      </c>
    </row>
    <row r="31" spans="1:10">
      <c r="A31" s="16">
        <v>46243</v>
      </c>
      <c r="B31" s="3">
        <v>0</v>
      </c>
      <c r="C31" s="3">
        <v>0</v>
      </c>
      <c r="D31" s="3">
        <v>0</v>
      </c>
      <c r="E31" s="3">
        <v>1</v>
      </c>
    </row>
    <row r="33" spans="1:10">
      <c r="A33" s="2" t="s">
        <v>121</v>
      </c>
    </row>
    <row r="34" spans="1:10">
      <c r="A34" s="2" t="s">
        <v>116</v>
      </c>
      <c r="B34" s="2" t="s">
        <v>108</v>
      </c>
      <c r="C34" s="2" t="s">
        <v>24</v>
      </c>
      <c r="D34" s="2" t="s">
        <v>101</v>
      </c>
      <c r="E34" s="2" t="s">
        <v>32</v>
      </c>
      <c r="F34" s="2" t="s">
        <v>117</v>
      </c>
    </row>
    <row r="35" spans="1:10">
      <c r="A35" s="16">
        <v>46237</v>
      </c>
      <c r="B35" s="3">
        <v>6</v>
      </c>
      <c r="C35" s="3">
        <v>7</v>
      </c>
      <c r="D35" s="3">
        <v>0</v>
      </c>
      <c r="E35" s="3">
        <v>2</v>
      </c>
      <c r="F35" s="3">
        <v>0</v>
      </c>
    </row>
    <row r="36" spans="1:10">
      <c r="A36" s="16">
        <v>46238</v>
      </c>
      <c r="B36" s="3">
        <v>15</v>
      </c>
      <c r="C36" s="3">
        <v>3</v>
      </c>
      <c r="D36" s="3">
        <v>0</v>
      </c>
      <c r="E36" s="3">
        <v>0</v>
      </c>
      <c r="F36" s="3">
        <v>0</v>
      </c>
    </row>
    <row r="37" spans="1:10">
      <c r="A37" s="16">
        <v>46239</v>
      </c>
      <c r="B37" s="3">
        <v>10</v>
      </c>
      <c r="C37" s="3">
        <v>4</v>
      </c>
      <c r="D37" s="3">
        <v>0</v>
      </c>
      <c r="E37" s="3">
        <v>4</v>
      </c>
      <c r="F37" s="3">
        <v>0</v>
      </c>
    </row>
    <row r="38" spans="1:10">
      <c r="A38" s="16">
        <v>46240</v>
      </c>
      <c r="B38" s="3">
        <v>37</v>
      </c>
      <c r="C38" s="3">
        <v>5</v>
      </c>
      <c r="D38" s="3">
        <v>0</v>
      </c>
      <c r="E38" s="3">
        <v>1</v>
      </c>
      <c r="F38" s="3">
        <v>0</v>
      </c>
    </row>
    <row r="39" spans="1:10">
      <c r="A39" s="16">
        <v>46241</v>
      </c>
      <c r="B39" s="3">
        <v>15</v>
      </c>
      <c r="C39" s="3">
        <v>6</v>
      </c>
      <c r="D39" s="3">
        <v>0</v>
      </c>
      <c r="E39" s="3">
        <v>2</v>
      </c>
      <c r="F39" s="3">
        <v>0</v>
      </c>
    </row>
    <row r="40" spans="1:10">
      <c r="A40" s="16">
        <v>46242</v>
      </c>
      <c r="B40" s="3">
        <v>8</v>
      </c>
      <c r="C40" s="3">
        <v>0</v>
      </c>
      <c r="D40" s="3">
        <v>0</v>
      </c>
      <c r="E40" s="3">
        <v>0</v>
      </c>
      <c r="F40" s="3">
        <v>0</v>
      </c>
    </row>
    <row r="41" spans="1:10">
      <c r="A41" s="16">
        <v>46243</v>
      </c>
      <c r="B41" s="3">
        <v>5</v>
      </c>
      <c r="C41" s="3">
        <v>0</v>
      </c>
      <c r="D41" s="3">
        <v>0</v>
      </c>
      <c r="E41" s="3">
        <v>0</v>
      </c>
      <c r="F41" s="3">
        <v>0</v>
      </c>
    </row>
    <row r="42" spans="1:10">
      <c r="A42" s="16">
        <v>46244</v>
      </c>
      <c r="B42" s="3">
        <v>2</v>
      </c>
      <c r="C42" s="3">
        <v>0</v>
      </c>
      <c r="D42" s="3">
        <v>0</v>
      </c>
      <c r="E42" s="3">
        <v>0</v>
      </c>
      <c r="F42" s="3">
        <v>1</v>
      </c>
    </row>
    <row r="44" spans="1:10">
      <c r="A44" s="2" t="s">
        <v>122</v>
      </c>
      <c r="J44" s="22" t="s">
        <v>123</v>
      </c>
    </row>
    <row r="45" spans="1:10">
      <c r="A45" s="2" t="s">
        <v>116</v>
      </c>
      <c r="B45" s="2" t="s">
        <v>108</v>
      </c>
      <c r="C45" s="2" t="s">
        <v>101</v>
      </c>
      <c r="D45" s="2" t="s">
        <v>32</v>
      </c>
      <c r="J45" s="21"/>
    </row>
    <row r="46" spans="1:10">
      <c r="A46" s="16">
        <v>46237</v>
      </c>
      <c r="B46" s="3">
        <v>0</v>
      </c>
      <c r="C46" s="3">
        <v>0</v>
      </c>
      <c r="D46" s="3">
        <v>0</v>
      </c>
      <c r="J46" s="21"/>
    </row>
    <row r="47" spans="1:10">
      <c r="A47" s="16">
        <v>46238</v>
      </c>
      <c r="B47" s="3">
        <v>0</v>
      </c>
      <c r="C47" s="3">
        <v>0</v>
      </c>
      <c r="D47" s="3">
        <v>0</v>
      </c>
      <c r="J47" s="21"/>
    </row>
    <row r="48" spans="1:10">
      <c r="A48" s="16">
        <v>46239</v>
      </c>
      <c r="B48" s="3">
        <v>0</v>
      </c>
      <c r="C48" s="3">
        <v>0</v>
      </c>
      <c r="D48" s="3">
        <v>0</v>
      </c>
      <c r="J48" s="21"/>
    </row>
    <row r="49" spans="1:5">
      <c r="A49" s="16">
        <v>46240</v>
      </c>
      <c r="B49" s="3">
        <v>0</v>
      </c>
      <c r="C49" s="3">
        <v>0</v>
      </c>
      <c r="D49" s="3">
        <v>0</v>
      </c>
    </row>
    <row r="50" spans="1:5">
      <c r="A50" s="16">
        <v>46241</v>
      </c>
      <c r="B50" s="3">
        <v>0</v>
      </c>
      <c r="C50" s="3">
        <v>0</v>
      </c>
      <c r="D50" s="3">
        <v>0</v>
      </c>
    </row>
    <row r="51" spans="1:5">
      <c r="A51" s="16">
        <v>46242</v>
      </c>
      <c r="B51" s="3">
        <v>0</v>
      </c>
      <c r="C51" s="3">
        <v>0</v>
      </c>
      <c r="D51" s="3">
        <v>0</v>
      </c>
    </row>
    <row r="52" spans="1:5">
      <c r="A52" s="16">
        <v>46243</v>
      </c>
      <c r="B52" s="3">
        <v>0</v>
      </c>
      <c r="C52" s="3">
        <v>0</v>
      </c>
      <c r="D52" s="3">
        <v>0</v>
      </c>
    </row>
    <row r="54" spans="1:5">
      <c r="A54" s="2" t="s">
        <v>124</v>
      </c>
    </row>
    <row r="55" spans="1:5">
      <c r="A55" s="2" t="s">
        <v>116</v>
      </c>
      <c r="B55" s="2" t="s">
        <v>108</v>
      </c>
      <c r="C55" s="2" t="s">
        <v>24</v>
      </c>
      <c r="D55" s="2" t="s">
        <v>101</v>
      </c>
      <c r="E55" s="2" t="s">
        <v>32</v>
      </c>
    </row>
    <row r="56" spans="1:5">
      <c r="A56" s="16">
        <v>46237</v>
      </c>
      <c r="B56" s="3">
        <v>0</v>
      </c>
      <c r="C56" s="3">
        <v>4</v>
      </c>
      <c r="D56" s="3">
        <v>0</v>
      </c>
      <c r="E56" s="3">
        <v>1</v>
      </c>
    </row>
    <row r="57" spans="1:5">
      <c r="A57" s="16">
        <v>46238</v>
      </c>
      <c r="B57" s="3">
        <v>0</v>
      </c>
      <c r="C57" s="3">
        <v>3</v>
      </c>
      <c r="D57" s="3">
        <v>0</v>
      </c>
      <c r="E57" s="3">
        <v>0</v>
      </c>
    </row>
    <row r="58" spans="1:5">
      <c r="A58" s="16">
        <v>46239</v>
      </c>
      <c r="B58" s="3">
        <v>0</v>
      </c>
      <c r="C58" s="3">
        <v>4</v>
      </c>
      <c r="D58" s="3">
        <v>0</v>
      </c>
      <c r="E58" s="3">
        <v>2</v>
      </c>
    </row>
    <row r="59" spans="1:5">
      <c r="A59" s="16">
        <v>46240</v>
      </c>
      <c r="B59" s="3">
        <v>0</v>
      </c>
      <c r="C59" s="3">
        <v>5</v>
      </c>
      <c r="D59" s="3">
        <v>0</v>
      </c>
      <c r="E59" s="3">
        <v>1</v>
      </c>
    </row>
    <row r="60" spans="1:5">
      <c r="A60" s="16">
        <v>46241</v>
      </c>
      <c r="B60" s="3">
        <v>0</v>
      </c>
      <c r="C60" s="3">
        <v>4</v>
      </c>
      <c r="D60" s="3">
        <v>0</v>
      </c>
      <c r="E60" s="3">
        <v>1</v>
      </c>
    </row>
    <row r="61" spans="1:5">
      <c r="A61" s="16">
        <v>46242</v>
      </c>
      <c r="B61" s="3">
        <v>0</v>
      </c>
      <c r="C61" s="3">
        <v>0</v>
      </c>
      <c r="D61" s="3">
        <v>0</v>
      </c>
      <c r="E61" s="3">
        <v>0</v>
      </c>
    </row>
    <row r="62" spans="1:5">
      <c r="A62" s="16">
        <v>46243</v>
      </c>
      <c r="B62" s="3">
        <v>0</v>
      </c>
      <c r="C62" s="3">
        <v>0</v>
      </c>
      <c r="D62" s="3">
        <v>0</v>
      </c>
      <c r="E62" s="3">
        <v>0</v>
      </c>
    </row>
    <row r="63" spans="1:5">
      <c r="A63" s="16">
        <v>46244</v>
      </c>
      <c r="B63" s="3">
        <v>0</v>
      </c>
      <c r="C63" s="3">
        <v>0</v>
      </c>
      <c r="D63" s="3">
        <v>0</v>
      </c>
      <c r="E63" s="3">
        <v>0</v>
      </c>
    </row>
  </sheetData>
  <mergeCells count="2">
    <mergeCell ref="J23:J27"/>
    <mergeCell ref="J44:J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/>
  </sheetViews>
  <sheetFormatPr defaultRowHeight="15"/>
  <cols>
    <col min="1" max="1" width="15" bestFit="1" customWidth="1"/>
    <col min="2" max="2" width="28.140625" bestFit="1" customWidth="1"/>
    <col min="3" max="3" width="10.140625" bestFit="1" customWidth="1"/>
    <col min="4" max="4" width="70.5703125" bestFit="1" customWidth="1"/>
    <col min="5" max="5" width="10" bestFit="1" customWidth="1"/>
    <col min="6" max="6" width="110.42578125" bestFit="1" customWidth="1"/>
    <col min="7" max="7" width="63.140625" bestFit="1" customWidth="1"/>
    <col min="8" max="8" width="16.28515625" bestFit="1" customWidth="1"/>
  </cols>
  <sheetData>
    <row r="1" spans="1:8">
      <c r="A1" s="22" t="s">
        <v>125</v>
      </c>
      <c r="B1" s="21"/>
      <c r="C1" s="21"/>
      <c r="D1" s="21"/>
    </row>
    <row r="2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3">
        <v>155030325</v>
      </c>
      <c r="B3" s="3" t="s">
        <v>21</v>
      </c>
      <c r="C3" s="3" t="s">
        <v>22</v>
      </c>
      <c r="D3" s="3" t="s">
        <v>100</v>
      </c>
      <c r="E3" s="3" t="s">
        <v>101</v>
      </c>
      <c r="F3" s="3" t="s">
        <v>26</v>
      </c>
      <c r="G3" s="3" t="s">
        <v>6</v>
      </c>
      <c r="H3" s="4">
        <v>46237.464826388888</v>
      </c>
    </row>
    <row r="4" spans="1:8">
      <c r="A4" s="3">
        <v>155030327</v>
      </c>
      <c r="B4" s="3" t="s">
        <v>21</v>
      </c>
      <c r="C4" s="3" t="s">
        <v>22</v>
      </c>
      <c r="D4" s="3" t="s">
        <v>103</v>
      </c>
      <c r="E4" s="3" t="s">
        <v>32</v>
      </c>
      <c r="F4" s="3" t="s">
        <v>34</v>
      </c>
      <c r="G4" s="3" t="s">
        <v>6</v>
      </c>
      <c r="H4" s="4">
        <v>46237.46497685185</v>
      </c>
    </row>
    <row r="5" spans="1:8">
      <c r="A5" s="3">
        <v>155030344</v>
      </c>
      <c r="B5" s="3" t="s">
        <v>21</v>
      </c>
      <c r="C5" s="3" t="s">
        <v>22</v>
      </c>
      <c r="D5" s="3" t="s">
        <v>126</v>
      </c>
      <c r="E5" s="3" t="s">
        <v>24</v>
      </c>
      <c r="F5" s="3" t="s">
        <v>127</v>
      </c>
      <c r="G5" s="3" t="s">
        <v>26</v>
      </c>
      <c r="H5" s="4">
        <v>46237.465821759259</v>
      </c>
    </row>
    <row r="6" spans="1:8">
      <c r="A6" s="3">
        <v>155030348</v>
      </c>
      <c r="B6" s="3" t="s">
        <v>21</v>
      </c>
      <c r="C6" s="3" t="s">
        <v>22</v>
      </c>
      <c r="D6" s="3" t="s">
        <v>128</v>
      </c>
      <c r="E6" s="3" t="s">
        <v>32</v>
      </c>
      <c r="F6" s="3" t="s">
        <v>129</v>
      </c>
      <c r="G6" s="3" t="s">
        <v>34</v>
      </c>
      <c r="H6" s="4">
        <v>46237.465891203705</v>
      </c>
    </row>
    <row r="7" spans="1:8">
      <c r="A7" s="3">
        <v>155030940</v>
      </c>
      <c r="B7" s="3" t="s">
        <v>36</v>
      </c>
      <c r="C7" s="3" t="s">
        <v>22</v>
      </c>
      <c r="D7" s="3" t="s">
        <v>104</v>
      </c>
      <c r="E7" s="3" t="s">
        <v>101</v>
      </c>
      <c r="F7" s="3" t="s">
        <v>39</v>
      </c>
      <c r="G7" s="3" t="s">
        <v>6</v>
      </c>
      <c r="H7" s="4">
        <v>46237.531331018516</v>
      </c>
    </row>
    <row r="8" spans="1:8">
      <c r="A8" s="3">
        <v>155031291</v>
      </c>
      <c r="B8" s="3" t="s">
        <v>21</v>
      </c>
      <c r="C8" s="3" t="s">
        <v>22</v>
      </c>
      <c r="D8" s="3" t="s">
        <v>100</v>
      </c>
      <c r="E8" s="3" t="s">
        <v>101</v>
      </c>
      <c r="F8" s="3" t="s">
        <v>46</v>
      </c>
      <c r="G8" s="3" t="s">
        <v>6</v>
      </c>
      <c r="H8" s="4">
        <v>46237.619953703703</v>
      </c>
    </row>
    <row r="9" spans="1:8">
      <c r="A9" s="3">
        <v>155031300</v>
      </c>
      <c r="B9" s="3" t="s">
        <v>21</v>
      </c>
      <c r="C9" s="3" t="s">
        <v>22</v>
      </c>
      <c r="D9" s="3" t="s">
        <v>103</v>
      </c>
      <c r="E9" s="3" t="s">
        <v>101</v>
      </c>
      <c r="F9" s="3" t="s">
        <v>48</v>
      </c>
      <c r="G9" s="3" t="s">
        <v>6</v>
      </c>
      <c r="H9" s="4">
        <v>46237.620219907411</v>
      </c>
    </row>
    <row r="10" spans="1:8">
      <c r="A10" s="3">
        <v>155031327</v>
      </c>
      <c r="B10" s="3" t="s">
        <v>21</v>
      </c>
      <c r="C10" s="3" t="s">
        <v>22</v>
      </c>
      <c r="D10" s="3" t="s">
        <v>126</v>
      </c>
      <c r="E10" s="3" t="s">
        <v>24</v>
      </c>
      <c r="F10" s="3" t="s">
        <v>130</v>
      </c>
      <c r="G10" s="3" t="s">
        <v>46</v>
      </c>
      <c r="H10" s="4">
        <v>46237.620821759258</v>
      </c>
    </row>
    <row r="11" spans="1:8">
      <c r="A11" s="3">
        <v>155031357</v>
      </c>
      <c r="B11" s="3" t="s">
        <v>21</v>
      </c>
      <c r="C11" s="3" t="s">
        <v>22</v>
      </c>
      <c r="D11" s="3" t="s">
        <v>128</v>
      </c>
      <c r="E11" s="3" t="s">
        <v>24</v>
      </c>
      <c r="F11" s="3" t="s">
        <v>131</v>
      </c>
      <c r="G11" s="3" t="s">
        <v>48</v>
      </c>
      <c r="H11" s="4">
        <v>46237.621111111112</v>
      </c>
    </row>
    <row r="12" spans="1:8">
      <c r="A12" s="3">
        <v>155043299</v>
      </c>
      <c r="B12" s="3" t="s">
        <v>21</v>
      </c>
      <c r="C12" s="3" t="s">
        <v>22</v>
      </c>
      <c r="D12" s="3" t="s">
        <v>105</v>
      </c>
      <c r="E12" s="3" t="s">
        <v>101</v>
      </c>
      <c r="F12" s="3" t="s">
        <v>51</v>
      </c>
      <c r="G12" s="3" t="s">
        <v>6</v>
      </c>
      <c r="H12" s="4">
        <v>46237.919236111113</v>
      </c>
    </row>
    <row r="13" spans="1:8">
      <c r="A13" s="3">
        <v>155067831</v>
      </c>
      <c r="B13" s="3" t="s">
        <v>21</v>
      </c>
      <c r="C13" s="3" t="s">
        <v>22</v>
      </c>
      <c r="D13" s="3" t="s">
        <v>105</v>
      </c>
      <c r="E13" s="3" t="s">
        <v>101</v>
      </c>
      <c r="F13" s="3" t="s">
        <v>63</v>
      </c>
      <c r="G13" s="3" t="s">
        <v>6</v>
      </c>
      <c r="H13" s="4">
        <v>46238.919733796298</v>
      </c>
    </row>
    <row r="14" spans="1:8">
      <c r="A14" s="3">
        <v>155077880</v>
      </c>
      <c r="B14" s="3" t="s">
        <v>21</v>
      </c>
      <c r="C14" s="3" t="s">
        <v>22</v>
      </c>
      <c r="D14" s="3" t="s">
        <v>105</v>
      </c>
      <c r="E14" s="3" t="s">
        <v>101</v>
      </c>
      <c r="F14" s="3" t="s">
        <v>65</v>
      </c>
      <c r="G14" s="3" t="s">
        <v>6</v>
      </c>
      <c r="H14" s="4">
        <v>46239.522187499999</v>
      </c>
    </row>
    <row r="15" spans="1:8">
      <c r="A15" s="3">
        <v>155090589</v>
      </c>
      <c r="B15" s="3" t="s">
        <v>21</v>
      </c>
      <c r="C15" s="3" t="s">
        <v>22</v>
      </c>
      <c r="D15" s="3" t="s">
        <v>100</v>
      </c>
      <c r="E15" s="3" t="s">
        <v>32</v>
      </c>
      <c r="F15" s="3" t="s">
        <v>67</v>
      </c>
      <c r="G15" s="3" t="s">
        <v>6</v>
      </c>
      <c r="H15" s="4">
        <v>46239.715624999997</v>
      </c>
    </row>
    <row r="16" spans="1:8">
      <c r="A16" s="3">
        <v>155090595</v>
      </c>
      <c r="B16" s="3" t="s">
        <v>21</v>
      </c>
      <c r="C16" s="3" t="s">
        <v>22</v>
      </c>
      <c r="D16" s="3" t="s">
        <v>103</v>
      </c>
      <c r="E16" s="3" t="s">
        <v>32</v>
      </c>
      <c r="F16" s="3" t="s">
        <v>69</v>
      </c>
      <c r="G16" s="3" t="s">
        <v>6</v>
      </c>
      <c r="H16" s="4">
        <v>46239.715798611112</v>
      </c>
    </row>
    <row r="17" spans="1:8">
      <c r="A17" s="3">
        <v>155090610</v>
      </c>
      <c r="B17" s="3" t="s">
        <v>21</v>
      </c>
      <c r="C17" s="3" t="s">
        <v>22</v>
      </c>
      <c r="D17" s="3" t="s">
        <v>126</v>
      </c>
      <c r="E17" s="3" t="s">
        <v>32</v>
      </c>
      <c r="F17" s="3" t="s">
        <v>132</v>
      </c>
      <c r="G17" s="3" t="s">
        <v>67</v>
      </c>
      <c r="H17" s="4">
        <v>46239.716585648152</v>
      </c>
    </row>
    <row r="18" spans="1:8">
      <c r="A18" s="3">
        <v>155090616</v>
      </c>
      <c r="B18" s="3" t="s">
        <v>21</v>
      </c>
      <c r="C18" s="3" t="s">
        <v>22</v>
      </c>
      <c r="D18" s="3" t="s">
        <v>128</v>
      </c>
      <c r="E18" s="3" t="s">
        <v>32</v>
      </c>
      <c r="F18" s="3" t="s">
        <v>133</v>
      </c>
      <c r="G18" s="3" t="s">
        <v>69</v>
      </c>
      <c r="H18" s="4">
        <v>46239.71671296296</v>
      </c>
    </row>
    <row r="19" spans="1:8">
      <c r="A19" s="3">
        <v>155092435</v>
      </c>
      <c r="B19" s="3" t="s">
        <v>21</v>
      </c>
      <c r="C19" s="3" t="s">
        <v>22</v>
      </c>
      <c r="D19" s="3" t="s">
        <v>103</v>
      </c>
      <c r="E19" s="3" t="s">
        <v>32</v>
      </c>
      <c r="F19" s="3" t="s">
        <v>72</v>
      </c>
      <c r="G19" s="3" t="s">
        <v>6</v>
      </c>
      <c r="H19" s="4">
        <v>46239.76284722222</v>
      </c>
    </row>
    <row r="20" spans="1:8">
      <c r="A20" s="3">
        <v>155092438</v>
      </c>
      <c r="B20" s="3" t="s">
        <v>21</v>
      </c>
      <c r="C20" s="3" t="s">
        <v>22</v>
      </c>
      <c r="D20" s="3" t="s">
        <v>100</v>
      </c>
      <c r="E20" s="3" t="s">
        <v>101</v>
      </c>
      <c r="F20" s="3" t="s">
        <v>75</v>
      </c>
      <c r="G20" s="3" t="s">
        <v>6</v>
      </c>
      <c r="H20" s="4">
        <v>46239.763043981482</v>
      </c>
    </row>
    <row r="21" spans="1:8">
      <c r="A21" s="3">
        <v>155100753</v>
      </c>
      <c r="B21" s="3" t="s">
        <v>76</v>
      </c>
      <c r="C21" s="3" t="s">
        <v>22</v>
      </c>
      <c r="D21" s="3" t="s">
        <v>111</v>
      </c>
      <c r="E21" s="3" t="s">
        <v>101</v>
      </c>
      <c r="F21" s="3" t="s">
        <v>79</v>
      </c>
      <c r="G21" s="3" t="s">
        <v>6</v>
      </c>
      <c r="H21" s="4">
        <v>46240.45821759259</v>
      </c>
    </row>
    <row r="22" spans="1:8">
      <c r="A22" s="3">
        <v>155105514</v>
      </c>
      <c r="B22" s="3" t="s">
        <v>21</v>
      </c>
      <c r="C22" s="3" t="s">
        <v>22</v>
      </c>
      <c r="D22" s="3" t="s">
        <v>112</v>
      </c>
      <c r="E22" s="3" t="s">
        <v>101</v>
      </c>
      <c r="F22" s="3" t="s">
        <v>82</v>
      </c>
      <c r="G22" s="3" t="s">
        <v>6</v>
      </c>
      <c r="H22" s="4">
        <v>46240.554525462961</v>
      </c>
    </row>
    <row r="23" spans="1:8">
      <c r="A23" s="3">
        <v>155111895</v>
      </c>
      <c r="B23" s="3" t="s">
        <v>21</v>
      </c>
      <c r="C23" s="3" t="s">
        <v>22</v>
      </c>
      <c r="D23" s="3" t="s">
        <v>105</v>
      </c>
      <c r="E23" s="3" t="s">
        <v>101</v>
      </c>
      <c r="F23" s="3" t="s">
        <v>88</v>
      </c>
      <c r="G23" s="3" t="s">
        <v>6</v>
      </c>
      <c r="H23" s="4">
        <v>46240.919814814813</v>
      </c>
    </row>
    <row r="24" spans="1:8">
      <c r="A24" s="3">
        <v>155112196</v>
      </c>
      <c r="B24" s="3" t="s">
        <v>21</v>
      </c>
      <c r="C24" s="3" t="s">
        <v>22</v>
      </c>
      <c r="D24" s="3" t="s">
        <v>100</v>
      </c>
      <c r="E24" s="3" t="s">
        <v>101</v>
      </c>
      <c r="F24" s="3" t="s">
        <v>90</v>
      </c>
      <c r="G24" s="3" t="s">
        <v>6</v>
      </c>
      <c r="H24" s="4">
        <v>46240.944143518522</v>
      </c>
    </row>
    <row r="25" spans="1:8">
      <c r="A25" s="3">
        <v>155129916</v>
      </c>
      <c r="B25" s="3" t="s">
        <v>21</v>
      </c>
      <c r="C25" s="3" t="s">
        <v>22</v>
      </c>
      <c r="D25" s="3" t="s">
        <v>100</v>
      </c>
      <c r="E25" s="3" t="s">
        <v>32</v>
      </c>
      <c r="F25" s="3" t="s">
        <v>92</v>
      </c>
      <c r="G25" s="3" t="s">
        <v>6</v>
      </c>
      <c r="H25" s="4">
        <v>46241.445891203701</v>
      </c>
    </row>
    <row r="26" spans="1:8">
      <c r="A26" s="3">
        <v>155129966</v>
      </c>
      <c r="B26" s="3" t="s">
        <v>21</v>
      </c>
      <c r="C26" s="3" t="s">
        <v>22</v>
      </c>
      <c r="D26" s="3" t="s">
        <v>126</v>
      </c>
      <c r="E26" s="3" t="s">
        <v>32</v>
      </c>
      <c r="F26" s="3" t="s">
        <v>134</v>
      </c>
      <c r="G26" s="3" t="s">
        <v>92</v>
      </c>
      <c r="H26" s="4">
        <v>46241.446828703702</v>
      </c>
    </row>
    <row r="27" spans="1:8">
      <c r="A27" s="3">
        <v>155130118</v>
      </c>
      <c r="B27" s="3" t="s">
        <v>21</v>
      </c>
      <c r="C27" s="3" t="s">
        <v>22</v>
      </c>
      <c r="D27" s="3" t="s">
        <v>100</v>
      </c>
      <c r="E27" s="3" t="s">
        <v>101</v>
      </c>
      <c r="F27" s="3" t="s">
        <v>94</v>
      </c>
      <c r="G27" s="3" t="s">
        <v>6</v>
      </c>
      <c r="H27" s="4">
        <v>46241.450694444444</v>
      </c>
    </row>
    <row r="28" spans="1:8">
      <c r="A28" s="3">
        <v>155130208</v>
      </c>
      <c r="B28" s="3" t="s">
        <v>21</v>
      </c>
      <c r="C28" s="3" t="s">
        <v>22</v>
      </c>
      <c r="D28" s="3" t="s">
        <v>126</v>
      </c>
      <c r="E28" s="3" t="s">
        <v>24</v>
      </c>
      <c r="F28" s="3" t="s">
        <v>135</v>
      </c>
      <c r="G28" s="3" t="s">
        <v>94</v>
      </c>
      <c r="H28" s="4">
        <v>46241.451655092591</v>
      </c>
    </row>
    <row r="29" spans="1:8">
      <c r="A29" s="3">
        <v>155154961</v>
      </c>
      <c r="B29" s="3" t="s">
        <v>76</v>
      </c>
      <c r="C29" s="3" t="s">
        <v>22</v>
      </c>
      <c r="D29" s="3" t="s">
        <v>111</v>
      </c>
      <c r="E29" s="3" t="s">
        <v>101</v>
      </c>
      <c r="F29" s="3" t="s">
        <v>97</v>
      </c>
      <c r="G29" s="3" t="s">
        <v>6</v>
      </c>
      <c r="H29" s="4">
        <v>46241.694027777776</v>
      </c>
    </row>
    <row r="30" spans="1:8">
      <c r="A30" s="3">
        <v>155155004</v>
      </c>
      <c r="B30" s="3" t="s">
        <v>76</v>
      </c>
      <c r="C30" s="3" t="s">
        <v>22</v>
      </c>
      <c r="D30" s="3" t="s">
        <v>136</v>
      </c>
      <c r="E30" s="3" t="s">
        <v>24</v>
      </c>
      <c r="F30" s="3" t="s">
        <v>137</v>
      </c>
      <c r="G30" s="3" t="s">
        <v>97</v>
      </c>
      <c r="H30" s="4">
        <v>46241.695023148146</v>
      </c>
    </row>
    <row r="31" spans="1:8">
      <c r="A31" s="3">
        <v>155168867</v>
      </c>
      <c r="B31" s="3" t="s">
        <v>21</v>
      </c>
      <c r="C31" s="3" t="s">
        <v>22</v>
      </c>
      <c r="D31" s="3" t="s">
        <v>105</v>
      </c>
      <c r="E31" s="3"/>
      <c r="F31" s="3" t="s">
        <v>138</v>
      </c>
      <c r="G31" s="3" t="s">
        <v>6</v>
      </c>
      <c r="H31" s="4">
        <v>46243.919374999998</v>
      </c>
    </row>
    <row r="32" spans="1:8">
      <c r="A32" s="3">
        <v>155170735</v>
      </c>
      <c r="B32" s="3" t="s">
        <v>21</v>
      </c>
      <c r="C32" s="3" t="s">
        <v>22</v>
      </c>
      <c r="D32" s="3" t="s">
        <v>49</v>
      </c>
      <c r="E32" s="3"/>
      <c r="F32" s="3" t="s">
        <v>139</v>
      </c>
      <c r="G32" s="3" t="s">
        <v>138</v>
      </c>
      <c r="H32" s="4">
        <v>46244.221851851849</v>
      </c>
    </row>
    <row r="33" spans="1:4">
      <c r="A33" s="22" t="s">
        <v>140</v>
      </c>
      <c r="B33" s="21"/>
      <c r="C33" s="21"/>
      <c r="D33" s="21"/>
    </row>
  </sheetData>
  <mergeCells count="2">
    <mergeCell ref="A1:D1"/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67"/>
  <sheetViews>
    <sheetView workbookViewId="0"/>
  </sheetViews>
  <sheetFormatPr defaultRowHeight="15"/>
  <cols>
    <col min="2" max="2" width="35.140625" customWidth="1"/>
    <col min="3" max="3" width="31.28515625" customWidth="1"/>
    <col min="4" max="4" width="11.7109375" customWidth="1"/>
    <col min="5" max="5" width="19.5703125" customWidth="1"/>
    <col min="6" max="6" width="11.7109375" customWidth="1"/>
    <col min="8" max="8" width="51.140625" customWidth="1"/>
    <col min="9" max="9" width="5" bestFit="1" customWidth="1"/>
    <col min="11" max="11" width="31.28515625" customWidth="1"/>
  </cols>
  <sheetData>
    <row r="1" spans="2:12">
      <c r="B1" s="5" t="s">
        <v>141</v>
      </c>
    </row>
    <row r="3" spans="2:12">
      <c r="B3" s="6" t="s">
        <v>15</v>
      </c>
      <c r="C3" s="6" t="s">
        <v>142</v>
      </c>
      <c r="D3" s="6" t="s">
        <v>143</v>
      </c>
      <c r="E3" s="6" t="s">
        <v>144</v>
      </c>
      <c r="F3" s="6" t="s">
        <v>145</v>
      </c>
      <c r="H3" s="6" t="s">
        <v>146</v>
      </c>
      <c r="I3">
        <f>I4+I5</f>
        <v>0</v>
      </c>
      <c r="K3" s="6" t="s">
        <v>147</v>
      </c>
    </row>
    <row r="4" spans="2:12">
      <c r="B4" s="18" t="s">
        <v>148</v>
      </c>
      <c r="C4" s="8" t="s">
        <v>149</v>
      </c>
      <c r="D4">
        <v>0</v>
      </c>
      <c r="E4" s="8" t="e">
        <f>D4/$D$40</f>
        <v>#DIV/0!</v>
      </c>
      <c r="F4" s="19" t="e">
        <f>SUM(E4:E6)</f>
        <v>#DIV/0!</v>
      </c>
      <c r="H4" t="s">
        <v>150</v>
      </c>
      <c r="I4">
        <f>D16</f>
        <v>0</v>
      </c>
      <c r="J4" s="8" t="e">
        <f>I4/I3</f>
        <v>#DIV/0!</v>
      </c>
      <c r="K4" t="str">
        <f>IF(L4&lt;&gt;" ",H15," ")</f>
        <v xml:space="preserve"> </v>
      </c>
      <c r="L4" t="str">
        <f>IF(I15&gt;0,I15," ")</f>
        <v xml:space="preserve"> </v>
      </c>
    </row>
    <row r="5" spans="2:12">
      <c r="B5" s="18" t="s">
        <v>148</v>
      </c>
      <c r="C5" s="8" t="s">
        <v>151</v>
      </c>
      <c r="D5">
        <v>0</v>
      </c>
      <c r="E5" s="8" t="e">
        <f>D5/$D$40</f>
        <v>#DIV/0!</v>
      </c>
      <c r="F5" s="19" t="e">
        <f>SUM(E4:E6)</f>
        <v>#DIV/0!</v>
      </c>
      <c r="H5" t="s">
        <v>152</v>
      </c>
      <c r="I5">
        <f>D40-D16</f>
        <v>0</v>
      </c>
      <c r="J5" s="8"/>
      <c r="K5" t="str">
        <f>IF(L5&lt;&gt;" ",H16," ")</f>
        <v xml:space="preserve"> </v>
      </c>
      <c r="L5" t="str">
        <f>IF(I16&gt;0,I16," ")</f>
        <v xml:space="preserve"> </v>
      </c>
    </row>
    <row r="6" spans="2:12">
      <c r="B6" s="18" t="s">
        <v>148</v>
      </c>
      <c r="C6" s="8" t="s">
        <v>153</v>
      </c>
      <c r="D6">
        <v>0</v>
      </c>
      <c r="E6" s="8" t="e">
        <f>D6/$D$40</f>
        <v>#DIV/0!</v>
      </c>
      <c r="F6" s="19" t="e">
        <f>SUM(E4:E6)</f>
        <v>#DIV/0!</v>
      </c>
      <c r="H6" t="s">
        <v>154</v>
      </c>
      <c r="I6">
        <f>SUM(D4:D6,D9:D15,D23:D24,D35)</f>
        <v>0</v>
      </c>
      <c r="J6" s="8" t="e">
        <f>I6/I3</f>
        <v>#DIV/0!</v>
      </c>
      <c r="K6" t="str">
        <f>IF(L6&lt;&gt;" ",H17," ")</f>
        <v xml:space="preserve"> </v>
      </c>
      <c r="L6" t="str">
        <f>IF(I17&gt;0,I17," ")</f>
        <v xml:space="preserve"> </v>
      </c>
    </row>
    <row r="7" spans="2:12">
      <c r="B7" s="18" t="s">
        <v>155</v>
      </c>
      <c r="C7" s="8" t="s">
        <v>156</v>
      </c>
      <c r="D7">
        <v>0</v>
      </c>
      <c r="E7" s="8" t="e">
        <f>D7/$D$40</f>
        <v>#DIV/0!</v>
      </c>
      <c r="F7" s="19" t="e">
        <f>SUM(E7:E8)</f>
        <v>#DIV/0!</v>
      </c>
      <c r="H7" t="s">
        <v>157</v>
      </c>
      <c r="I7">
        <f>SUM(D36)</f>
        <v>0</v>
      </c>
      <c r="J7" s="8" t="e">
        <f>I7/I3</f>
        <v>#DIV/0!</v>
      </c>
      <c r="K7" t="str">
        <f>IF(L7&lt;&gt;" ",H18," ")</f>
        <v xml:space="preserve"> </v>
      </c>
      <c r="L7" t="str">
        <f>IF(I18&gt;0,I18," ")</f>
        <v xml:space="preserve"> </v>
      </c>
    </row>
    <row r="8" spans="2:12">
      <c r="B8" s="18" t="s">
        <v>155</v>
      </c>
      <c r="C8" s="8" t="s">
        <v>158</v>
      </c>
      <c r="D8">
        <v>0</v>
      </c>
      <c r="E8" s="8" t="e">
        <f>D8/$D$40</f>
        <v>#DIV/0!</v>
      </c>
      <c r="F8" s="19" t="e">
        <f>SUM(E7:E8)</f>
        <v>#DIV/0!</v>
      </c>
      <c r="H8" t="s">
        <v>159</v>
      </c>
      <c r="I8">
        <f>SUM(D7:D8,D17:D22,D25,D26:D28,D29:D34,D37,D38)</f>
        <v>0</v>
      </c>
      <c r="J8" s="8" t="e">
        <f>I8/I3</f>
        <v>#DIV/0!</v>
      </c>
      <c r="K8" t="str">
        <f>IF(L8&lt;&gt;" ",H19," ")</f>
        <v xml:space="preserve"> </v>
      </c>
      <c r="L8" t="str">
        <f>IF(I19&gt;0,I19," ")</f>
        <v xml:space="preserve"> </v>
      </c>
    </row>
    <row r="9" spans="2:12">
      <c r="B9" s="18" t="s">
        <v>27</v>
      </c>
      <c r="C9" s="8" t="s">
        <v>28</v>
      </c>
      <c r="D9">
        <v>0</v>
      </c>
      <c r="E9" s="8" t="e">
        <f>D9/$D$40</f>
        <v>#DIV/0!</v>
      </c>
      <c r="F9" s="19" t="e">
        <f>SUM(E9:E15)</f>
        <v>#DIV/0!</v>
      </c>
      <c r="K9" t="str">
        <f>IF(L9&lt;&gt;" ",H20," ")</f>
        <v xml:space="preserve"> </v>
      </c>
      <c r="L9" t="str">
        <f>IF(I20&gt;0,I20," ")</f>
        <v xml:space="preserve"> </v>
      </c>
    </row>
    <row r="10" spans="2:12">
      <c r="B10" s="18" t="s">
        <v>27</v>
      </c>
      <c r="C10" s="8" t="s">
        <v>160</v>
      </c>
      <c r="D10">
        <v>0</v>
      </c>
      <c r="E10" s="8" t="e">
        <f>D10/$D$40</f>
        <v>#DIV/0!</v>
      </c>
      <c r="F10" s="19" t="e">
        <f>SUM(E9:E15)</f>
        <v>#DIV/0!</v>
      </c>
      <c r="K10" t="str">
        <f>IF(L10&lt;&gt;" ",H21," ")</f>
        <v xml:space="preserve"> </v>
      </c>
      <c r="L10" t="str">
        <f>IF(I21&gt;0,I21," ")</f>
        <v xml:space="preserve"> </v>
      </c>
    </row>
    <row r="11" spans="2:12">
      <c r="B11" s="18" t="s">
        <v>27</v>
      </c>
      <c r="C11" s="8" t="s">
        <v>161</v>
      </c>
      <c r="D11">
        <v>0</v>
      </c>
      <c r="E11" s="8" t="e">
        <f>D11/$D$40</f>
        <v>#DIV/0!</v>
      </c>
      <c r="F11" s="19" t="e">
        <f>SUM(E9:E15)</f>
        <v>#DIV/0!</v>
      </c>
      <c r="K11" t="str">
        <f>IF(L11&lt;&gt;" ",H22," ")</f>
        <v xml:space="preserve"> </v>
      </c>
      <c r="L11" t="str">
        <f>IF(I22&gt;0,I22," ")</f>
        <v xml:space="preserve"> </v>
      </c>
    </row>
    <row r="12" spans="2:12">
      <c r="B12" s="18" t="s">
        <v>27</v>
      </c>
      <c r="C12" s="8" t="s">
        <v>162</v>
      </c>
      <c r="D12">
        <v>0</v>
      </c>
      <c r="E12" s="8" t="e">
        <f>D12/$D$40</f>
        <v>#DIV/0!</v>
      </c>
      <c r="F12" s="19" t="e">
        <f>SUM(E9:E15)</f>
        <v>#DIV/0!</v>
      </c>
      <c r="K12" t="str">
        <f>IF(L12&lt;&gt;" ",H23," ")</f>
        <v xml:space="preserve"> </v>
      </c>
      <c r="L12" t="str">
        <f>IF(I23&gt;0,I23," ")</f>
        <v xml:space="preserve"> </v>
      </c>
    </row>
    <row r="13" spans="2:12">
      <c r="B13" s="18" t="s">
        <v>27</v>
      </c>
      <c r="C13" s="8" t="s">
        <v>163</v>
      </c>
      <c r="D13">
        <v>0</v>
      </c>
      <c r="E13" s="8" t="e">
        <f>D13/$D$40</f>
        <v>#DIV/0!</v>
      </c>
      <c r="F13" s="19" t="e">
        <f>SUM(E9:E15)</f>
        <v>#DIV/0!</v>
      </c>
      <c r="K13" t="str">
        <f>IF(L13&lt;&gt;" ",H24," ")</f>
        <v xml:space="preserve"> </v>
      </c>
      <c r="L13" t="str">
        <f>IF(I24&gt;0,I24," ")</f>
        <v xml:space="preserve"> </v>
      </c>
    </row>
    <row r="14" spans="2:12">
      <c r="B14" s="18" t="s">
        <v>27</v>
      </c>
      <c r="C14" s="8" t="s">
        <v>164</v>
      </c>
      <c r="D14">
        <v>0</v>
      </c>
      <c r="E14" s="8" t="e">
        <f>D14/$D$40</f>
        <v>#DIV/0!</v>
      </c>
      <c r="F14" s="19" t="e">
        <f>SUM(E9:E15)</f>
        <v>#DIV/0!</v>
      </c>
      <c r="H14" s="14" t="s">
        <v>165</v>
      </c>
      <c r="I14" t="s">
        <v>166</v>
      </c>
      <c r="K14" t="str">
        <f>IF(L14&lt;&gt;" ",H25," ")</f>
        <v xml:space="preserve"> </v>
      </c>
      <c r="L14" t="str">
        <f>IF(I25&gt;0,I25," ")</f>
        <v xml:space="preserve"> </v>
      </c>
    </row>
    <row r="15" spans="2:12">
      <c r="B15" s="18" t="s">
        <v>27</v>
      </c>
      <c r="C15" s="8" t="s">
        <v>167</v>
      </c>
      <c r="D15">
        <v>0</v>
      </c>
      <c r="E15" s="8" t="e">
        <f>D15/$D$40</f>
        <v>#DIV/0!</v>
      </c>
      <c r="F15" s="19" t="e">
        <f>SUM(E9:E15)</f>
        <v>#DIV/0!</v>
      </c>
      <c r="H15" s="15" t="s">
        <v>28</v>
      </c>
      <c r="I15">
        <v>0</v>
      </c>
      <c r="K15" t="str">
        <f>IF(L15&lt;&gt;" ",H26," ")</f>
        <v xml:space="preserve"> </v>
      </c>
      <c r="L15" t="str">
        <f>IF(I26&gt;0,I26," ")</f>
        <v xml:space="preserve"> </v>
      </c>
    </row>
    <row r="16" spans="2:12">
      <c r="B16" s="18" t="s">
        <v>27</v>
      </c>
      <c r="C16" s="8" t="s">
        <v>35</v>
      </c>
      <c r="D16">
        <v>0</v>
      </c>
      <c r="E16" s="8" t="e">
        <f>D16/$D$40</f>
        <v>#DIV/0!</v>
      </c>
      <c r="F16" s="8" t="e">
        <f>SUM(E9:E15)</f>
        <v>#DIV/0!</v>
      </c>
      <c r="H16" s="15" t="s">
        <v>168</v>
      </c>
      <c r="I16">
        <v>0</v>
      </c>
      <c r="K16" t="str">
        <f>IF(L16&lt;&gt;" ",H27," ")</f>
        <v xml:space="preserve"> </v>
      </c>
      <c r="L16" t="str">
        <f>IF(I27&gt;0,I27," ")</f>
        <v xml:space="preserve"> </v>
      </c>
    </row>
    <row r="17" spans="2:12">
      <c r="B17" s="18" t="s">
        <v>169</v>
      </c>
      <c r="C17" s="8" t="s">
        <v>170</v>
      </c>
      <c r="D17">
        <v>0</v>
      </c>
      <c r="E17" s="8" t="e">
        <f>D17/$D$40</f>
        <v>#DIV/0!</v>
      </c>
      <c r="F17" s="19" t="e">
        <f>SUM(E17:E22)</f>
        <v>#DIV/0!</v>
      </c>
      <c r="H17" s="15" t="s">
        <v>170</v>
      </c>
      <c r="I17">
        <v>0</v>
      </c>
      <c r="K17" t="str">
        <f>IF(L17&lt;&gt;" ",H28," ")</f>
        <v xml:space="preserve"> </v>
      </c>
      <c r="L17" t="str">
        <f>IF(I28&gt;0,I28," ")</f>
        <v xml:space="preserve"> </v>
      </c>
    </row>
    <row r="18" spans="2:12">
      <c r="B18" s="18" t="s">
        <v>169</v>
      </c>
      <c r="C18" s="8" t="s">
        <v>171</v>
      </c>
      <c r="D18">
        <v>0</v>
      </c>
      <c r="E18" s="8" t="e">
        <f>D18/$D$40</f>
        <v>#DIV/0!</v>
      </c>
      <c r="F18" s="19" t="e">
        <f>SUM(E17:E22)</f>
        <v>#DIV/0!</v>
      </c>
      <c r="H18" s="15" t="s">
        <v>172</v>
      </c>
      <c r="I18">
        <v>0</v>
      </c>
      <c r="K18" t="str">
        <f>IF(L18&lt;&gt;" ",H29," ")</f>
        <v xml:space="preserve"> </v>
      </c>
      <c r="L18" t="str">
        <f>IF(I29&gt;0,I29," ")</f>
        <v xml:space="preserve"> </v>
      </c>
    </row>
    <row r="19" spans="2:12">
      <c r="B19" s="18" t="s">
        <v>169</v>
      </c>
      <c r="C19" s="8" t="s">
        <v>172</v>
      </c>
      <c r="D19">
        <v>0</v>
      </c>
      <c r="E19" s="8" t="e">
        <f>D19/$D$40</f>
        <v>#DIV/0!</v>
      </c>
      <c r="F19" s="19" t="e">
        <f>SUM(E17:E22)</f>
        <v>#DIV/0!</v>
      </c>
      <c r="H19" s="15" t="s">
        <v>173</v>
      </c>
      <c r="I19">
        <v>0</v>
      </c>
      <c r="K19" t="str">
        <f>IF(L19&lt;&gt;" ",H30," ")</f>
        <v xml:space="preserve"> </v>
      </c>
      <c r="L19" t="str">
        <f>IF(I30&gt;0,I30," ")</f>
        <v xml:space="preserve"> </v>
      </c>
    </row>
    <row r="20" spans="2:12">
      <c r="B20" s="18" t="s">
        <v>169</v>
      </c>
      <c r="C20" s="8" t="s">
        <v>168</v>
      </c>
      <c r="D20">
        <v>0</v>
      </c>
      <c r="E20" s="8" t="e">
        <f>D20/$D$40</f>
        <v>#DIV/0!</v>
      </c>
      <c r="F20" s="19" t="e">
        <f>SUM(E17:E22)</f>
        <v>#DIV/0!</v>
      </c>
      <c r="H20" s="15" t="s">
        <v>161</v>
      </c>
      <c r="I20">
        <v>0</v>
      </c>
      <c r="K20" t="str">
        <f>IF(L20&lt;&gt;" ",H31," ")</f>
        <v xml:space="preserve"> </v>
      </c>
      <c r="L20" t="str">
        <f>IF(I31&gt;0,I31," ")</f>
        <v xml:space="preserve"> </v>
      </c>
    </row>
    <row r="21" spans="2:12">
      <c r="B21" s="18" t="s">
        <v>169</v>
      </c>
      <c r="C21" s="8" t="s">
        <v>174</v>
      </c>
      <c r="D21">
        <v>0</v>
      </c>
      <c r="E21" s="8" t="e">
        <f>D21/$D$40</f>
        <v>#DIV/0!</v>
      </c>
      <c r="F21" s="19" t="e">
        <f>SUM(E17:E22)</f>
        <v>#DIV/0!</v>
      </c>
      <c r="H21" s="15" t="s">
        <v>174</v>
      </c>
      <c r="I21">
        <v>0</v>
      </c>
      <c r="K21" t="str">
        <f>IF(L21&lt;&gt;" ",H32," ")</f>
        <v>FAILED_SUBCHECKS</v>
      </c>
      <c r="L21">
        <f>IF(I32&gt;0,I32," ")</f>
        <v>20</v>
      </c>
    </row>
    <row r="22" spans="2:12">
      <c r="B22" s="18" t="s">
        <v>169</v>
      </c>
      <c r="C22" s="8" t="s">
        <v>173</v>
      </c>
      <c r="D22">
        <v>0</v>
      </c>
      <c r="E22" s="8" t="e">
        <f>D22/$D$40</f>
        <v>#DIV/0!</v>
      </c>
      <c r="F22" s="19" t="e">
        <f>SUM(E17:E22)</f>
        <v>#DIV/0!</v>
      </c>
      <c r="H22" s="15" t="s">
        <v>162</v>
      </c>
      <c r="I22">
        <v>0</v>
      </c>
      <c r="K22" t="str">
        <f>IF(L22&lt;&gt;" ",H33," ")</f>
        <v xml:space="preserve"> </v>
      </c>
      <c r="L22" t="str">
        <f>IF(I33&gt;0,I33," ")</f>
        <v xml:space="preserve"> </v>
      </c>
    </row>
    <row r="23" spans="2:12">
      <c r="B23" s="18" t="s">
        <v>175</v>
      </c>
      <c r="C23" s="8" t="s">
        <v>176</v>
      </c>
      <c r="D23">
        <v>0</v>
      </c>
      <c r="E23" s="8" t="e">
        <f>D23/$D$40</f>
        <v>#DIV/0!</v>
      </c>
      <c r="F23" s="19" t="e">
        <f>SUM(E23:E24)</f>
        <v>#DIV/0!</v>
      </c>
      <c r="H23" s="15" t="s">
        <v>160</v>
      </c>
      <c r="I23">
        <v>0</v>
      </c>
      <c r="K23" t="str">
        <f>IF(L23&lt;&gt;" ",H34," ")</f>
        <v xml:space="preserve"> </v>
      </c>
      <c r="L23" t="str">
        <f>IF(I34&gt;0,I34," ")</f>
        <v xml:space="preserve"> </v>
      </c>
    </row>
    <row r="24" spans="2:12">
      <c r="B24" s="18" t="s">
        <v>175</v>
      </c>
      <c r="C24" s="8" t="s">
        <v>177</v>
      </c>
      <c r="D24">
        <v>0</v>
      </c>
      <c r="E24" s="8" t="e">
        <f>D24/$D$40</f>
        <v>#DIV/0!</v>
      </c>
      <c r="F24" s="19" t="e">
        <f>SUM(E23:E24)</f>
        <v>#DIV/0!</v>
      </c>
      <c r="H24" s="15" t="s">
        <v>171</v>
      </c>
      <c r="I24">
        <v>0</v>
      </c>
      <c r="K24" t="str">
        <f>IF(L24&lt;&gt;" ",H35," ")</f>
        <v xml:space="preserve"> </v>
      </c>
      <c r="L24" t="str">
        <f>IF(I35&gt;0,I35," ")</f>
        <v xml:space="preserve"> </v>
      </c>
    </row>
    <row r="25" spans="2:12">
      <c r="B25" s="7" t="s">
        <v>178</v>
      </c>
      <c r="C25" s="8" t="s">
        <v>179</v>
      </c>
      <c r="D25">
        <v>0</v>
      </c>
      <c r="E25" s="8" t="e">
        <f>D25/$D$40</f>
        <v>#DIV/0!</v>
      </c>
      <c r="F25" s="8" t="e">
        <f>SUM(E25)</f>
        <v>#DIV/0!</v>
      </c>
      <c r="H25" s="15" t="s">
        <v>164</v>
      </c>
      <c r="I25">
        <v>0</v>
      </c>
      <c r="K25" t="str">
        <f>IF(L25&lt;&gt;" ",H36," ")</f>
        <v xml:space="preserve"> </v>
      </c>
      <c r="L25" t="str">
        <f>IF(I36&gt;0,I36," ")</f>
        <v xml:space="preserve"> </v>
      </c>
    </row>
    <row r="26" spans="2:12">
      <c r="B26" s="18" t="s">
        <v>180</v>
      </c>
      <c r="C26" s="8" t="s">
        <v>181</v>
      </c>
      <c r="D26">
        <v>0</v>
      </c>
      <c r="E26" s="8" t="e">
        <f>D26/$D$40</f>
        <v>#DIV/0!</v>
      </c>
      <c r="F26" s="19" t="e">
        <f>SUM(E26:E28)</f>
        <v>#DIV/0!</v>
      </c>
      <c r="H26" s="15" t="s">
        <v>167</v>
      </c>
      <c r="I26">
        <v>0</v>
      </c>
      <c r="K26" t="str">
        <f>IF(L26&lt;&gt;" ",H37," ")</f>
        <v xml:space="preserve"> </v>
      </c>
      <c r="L26" t="str">
        <f>IF(I37&gt;0,I37," ")</f>
        <v xml:space="preserve"> </v>
      </c>
    </row>
    <row r="27" spans="2:12">
      <c r="B27" s="18" t="s">
        <v>180</v>
      </c>
      <c r="C27" s="8" t="s">
        <v>182</v>
      </c>
      <c r="D27">
        <v>0</v>
      </c>
      <c r="E27" s="8" t="e">
        <f>D27/$D$40</f>
        <v>#DIV/0!</v>
      </c>
      <c r="F27" s="19" t="e">
        <f>SUM(E26:E28)</f>
        <v>#DIV/0!</v>
      </c>
      <c r="H27" s="15" t="s">
        <v>163</v>
      </c>
      <c r="I27">
        <v>0</v>
      </c>
      <c r="K27" t="str">
        <f>IF(L27&lt;&gt;" ",H38," ")</f>
        <v xml:space="preserve"> </v>
      </c>
      <c r="L27" t="str">
        <f>IF(I38&gt;0,I38," ")</f>
        <v xml:space="preserve"> </v>
      </c>
    </row>
    <row r="28" spans="2:12">
      <c r="B28" s="18" t="s">
        <v>180</v>
      </c>
      <c r="C28" s="8" t="s">
        <v>183</v>
      </c>
      <c r="D28">
        <v>0</v>
      </c>
      <c r="E28" s="8" t="e">
        <f>D28/$D$40</f>
        <v>#DIV/0!</v>
      </c>
      <c r="F28" s="19" t="e">
        <f>SUM(E26:E28)</f>
        <v>#DIV/0!</v>
      </c>
      <c r="H28" s="15" t="s">
        <v>35</v>
      </c>
      <c r="I28">
        <v>0</v>
      </c>
      <c r="K28" t="str">
        <f>IF(L28&lt;&gt;" ",H39," ")</f>
        <v xml:space="preserve"> </v>
      </c>
      <c r="L28" t="str">
        <f>IF(I39&gt;0,I39," ")</f>
        <v xml:space="preserve"> </v>
      </c>
    </row>
    <row r="29" spans="2:12">
      <c r="B29" s="18" t="s">
        <v>184</v>
      </c>
      <c r="C29" s="8" t="s">
        <v>185</v>
      </c>
      <c r="D29">
        <v>0</v>
      </c>
      <c r="E29" s="8" t="e">
        <f>D29/$D$40</f>
        <v>#DIV/0!</v>
      </c>
      <c r="F29" s="19" t="e">
        <f>SUM(E29:E34)</f>
        <v>#DIV/0!</v>
      </c>
      <c r="H29" s="15" t="s">
        <v>176</v>
      </c>
      <c r="I29">
        <v>0</v>
      </c>
      <c r="K29" t="str">
        <f>IF(L29&lt;&gt;" ",H40," ")</f>
        <v xml:space="preserve"> </v>
      </c>
      <c r="L29" t="str">
        <f>IF(I40&gt;0,I40," ")</f>
        <v xml:space="preserve"> </v>
      </c>
    </row>
    <row r="30" spans="2:12">
      <c r="B30" s="18" t="s">
        <v>184</v>
      </c>
      <c r="C30" s="8" t="s">
        <v>186</v>
      </c>
      <c r="D30">
        <v>0</v>
      </c>
      <c r="E30" s="8" t="e">
        <f>D30/$D$40</f>
        <v>#DIV/0!</v>
      </c>
      <c r="F30" s="19" t="e">
        <f>SUM(E29:E34)</f>
        <v>#DIV/0!</v>
      </c>
      <c r="H30" s="15" t="s">
        <v>179</v>
      </c>
      <c r="I30">
        <v>0</v>
      </c>
      <c r="K30" t="str">
        <f>IF(L30&lt;&gt;" ",H41," ")</f>
        <v xml:space="preserve"> </v>
      </c>
      <c r="L30" t="str">
        <f>IF(I41&gt;0,I41," ")</f>
        <v xml:space="preserve"> </v>
      </c>
    </row>
    <row r="31" spans="2:12">
      <c r="B31" s="18" t="s">
        <v>184</v>
      </c>
      <c r="C31" s="8" t="s">
        <v>187</v>
      </c>
      <c r="D31">
        <v>0</v>
      </c>
      <c r="E31" s="8" t="e">
        <f>D31/$D$40</f>
        <v>#DIV/0!</v>
      </c>
      <c r="F31" s="19" t="e">
        <f>SUM(E29:E34)</f>
        <v>#DIV/0!</v>
      </c>
      <c r="H31" s="15" t="s">
        <v>177</v>
      </c>
      <c r="I31">
        <v>0</v>
      </c>
      <c r="K31" t="str">
        <f>IF(L31&lt;&gt;" ",H42," ")</f>
        <v xml:space="preserve"> </v>
      </c>
      <c r="L31" t="str">
        <f>IF(I42&gt;0,I42," ")</f>
        <v xml:space="preserve"> </v>
      </c>
    </row>
    <row r="32" spans="2:12">
      <c r="B32" s="18" t="s">
        <v>184</v>
      </c>
      <c r="C32" s="8" t="s">
        <v>188</v>
      </c>
      <c r="D32">
        <v>0</v>
      </c>
      <c r="E32" s="8" t="e">
        <f>D32/$D$40</f>
        <v>#DIV/0!</v>
      </c>
      <c r="F32" s="19" t="e">
        <f>SUM(E29:E34)</f>
        <v>#DIV/0!</v>
      </c>
      <c r="H32" s="15" t="s">
        <v>189</v>
      </c>
      <c r="I32">
        <v>20</v>
      </c>
      <c r="K32" t="str">
        <f>IF(L32&lt;&gt;" ",H43," ")</f>
        <v xml:space="preserve"> </v>
      </c>
      <c r="L32" t="str">
        <f>IF(I43&gt;0,I43," ")</f>
        <v xml:space="preserve"> </v>
      </c>
    </row>
    <row r="33" spans="2:12">
      <c r="B33" s="18" t="s">
        <v>184</v>
      </c>
      <c r="C33" s="8" t="s">
        <v>190</v>
      </c>
      <c r="D33">
        <v>0</v>
      </c>
      <c r="E33" s="8" t="e">
        <f>D33/$D$40</f>
        <v>#DIV/0!</v>
      </c>
      <c r="F33" s="19" t="e">
        <f>SUM(E29:E34)</f>
        <v>#DIV/0!</v>
      </c>
      <c r="H33" s="15" t="s">
        <v>149</v>
      </c>
      <c r="I33">
        <v>0</v>
      </c>
      <c r="K33" t="str">
        <f>IF(L33&lt;&gt;" ",H44," ")</f>
        <v xml:space="preserve"> </v>
      </c>
      <c r="L33" t="str">
        <f>IF(I44&gt;0,I44," ")</f>
        <v xml:space="preserve"> </v>
      </c>
    </row>
    <row r="34" spans="2:12">
      <c r="B34" s="18" t="s">
        <v>184</v>
      </c>
      <c r="C34" s="8" t="s">
        <v>191</v>
      </c>
      <c r="D34">
        <v>0</v>
      </c>
      <c r="E34" s="8" t="e">
        <f>D34/$D$40</f>
        <v>#DIV/0!</v>
      </c>
      <c r="F34" s="19" t="e">
        <f>SUM(E29:E34)</f>
        <v>#DIV/0!</v>
      </c>
      <c r="H34" s="15" t="s">
        <v>158</v>
      </c>
      <c r="I34">
        <v>0</v>
      </c>
      <c r="K34" t="str">
        <f>IF(L34&lt;&gt;" ",H45," ")</f>
        <v xml:space="preserve"> </v>
      </c>
      <c r="L34" t="str">
        <f>IF(I45&gt;0,I45," ")</f>
        <v xml:space="preserve"> </v>
      </c>
    </row>
    <row r="35" spans="2:12">
      <c r="B35" s="7" t="s">
        <v>192</v>
      </c>
      <c r="C35" s="8" t="s">
        <v>193</v>
      </c>
      <c r="D35">
        <v>0</v>
      </c>
      <c r="E35" s="8" t="e">
        <f>D35/$D$40</f>
        <v>#DIV/0!</v>
      </c>
      <c r="F35" s="8" t="e">
        <f>SUM(E35)</f>
        <v>#DIV/0!</v>
      </c>
      <c r="H35" s="15" t="s">
        <v>153</v>
      </c>
      <c r="I35">
        <v>0</v>
      </c>
      <c r="K35" t="str">
        <f>IF(L35&lt;&gt;" ",H46," ")</f>
        <v xml:space="preserve"> </v>
      </c>
      <c r="L35" t="str">
        <f>IF(I46&gt;0,I46," ")</f>
        <v xml:space="preserve"> </v>
      </c>
    </row>
    <row r="36" spans="2:12">
      <c r="B36" s="18" t="s">
        <v>40</v>
      </c>
      <c r="C36" s="8" t="s">
        <v>194</v>
      </c>
      <c r="D36">
        <v>0</v>
      </c>
      <c r="E36" s="8" t="e">
        <f>D36/$D$40</f>
        <v>#DIV/0!</v>
      </c>
      <c r="F36" s="19" t="e">
        <f>SUM(E36:E37)</f>
        <v>#DIV/0!</v>
      </c>
      <c r="H36" s="15" t="s">
        <v>156</v>
      </c>
      <c r="I36">
        <v>0</v>
      </c>
      <c r="K36" t="str">
        <f>IF(L36&lt;&gt;" ",H47," ")</f>
        <v xml:space="preserve"> </v>
      </c>
      <c r="L36" t="str">
        <f>IF(I47&gt;0,I47," ")</f>
        <v xml:space="preserve"> </v>
      </c>
    </row>
    <row r="37" spans="2:12">
      <c r="B37" s="18" t="s">
        <v>40</v>
      </c>
      <c r="C37" s="8" t="s">
        <v>41</v>
      </c>
      <c r="D37">
        <v>0</v>
      </c>
      <c r="E37" s="8" t="e">
        <f>D37/$D$40</f>
        <v>#DIV/0!</v>
      </c>
      <c r="F37" s="19" t="e">
        <f>SUM(E36:E37)</f>
        <v>#DIV/0!</v>
      </c>
      <c r="H37" s="15" t="s">
        <v>151</v>
      </c>
      <c r="I37">
        <v>0</v>
      </c>
      <c r="K37" t="str">
        <f>IF(L37&lt;&gt;" ",H48," ")</f>
        <v xml:space="preserve"> </v>
      </c>
      <c r="L37" t="str">
        <f>IF(I48&gt;0,I48," ")</f>
        <v xml:space="preserve"> </v>
      </c>
    </row>
    <row r="38" spans="2:12">
      <c r="B38" s="7" t="s">
        <v>195</v>
      </c>
      <c r="C38" s="8" t="s">
        <v>195</v>
      </c>
      <c r="D38">
        <v>0</v>
      </c>
      <c r="E38" s="8" t="e">
        <f>D38/$D$40</f>
        <v>#DIV/0!</v>
      </c>
      <c r="F38" s="8" t="e">
        <f>SUM(E38)</f>
        <v>#DIV/0!</v>
      </c>
      <c r="H38" s="15" t="s">
        <v>187</v>
      </c>
      <c r="I38">
        <v>0</v>
      </c>
      <c r="K38" t="str">
        <f>IF(L38&lt;&gt;" ",H49," ")</f>
        <v xml:space="preserve"> </v>
      </c>
      <c r="L38" t="str">
        <f>IF(I49&gt;0,I49," ")</f>
        <v xml:space="preserve"> </v>
      </c>
    </row>
    <row r="39" spans="2:12">
      <c r="C39" t="s">
        <v>189</v>
      </c>
      <c r="D39">
        <f>SUM(IF(FREQUENCY(MATCH(B47:B67,B47:B67,0),MATCH(B47:B67,B47:B67,0))&gt;0,1))-1</f>
        <v>20</v>
      </c>
      <c r="H39" s="15" t="s">
        <v>188</v>
      </c>
      <c r="I39">
        <v>0</v>
      </c>
      <c r="K39" t="str">
        <f>IF(L39&lt;&gt;" ",H50," ")</f>
        <v xml:space="preserve"> </v>
      </c>
      <c r="L39" t="str">
        <f>IF(I50&gt;0,I50," ")</f>
        <v xml:space="preserve"> </v>
      </c>
    </row>
    <row r="40" spans="2:12">
      <c r="C40" t="s">
        <v>196</v>
      </c>
      <c r="D40">
        <f>SUM(D4:D38)</f>
        <v>0</v>
      </c>
      <c r="H40" s="15" t="s">
        <v>190</v>
      </c>
      <c r="I40">
        <v>0</v>
      </c>
    </row>
    <row r="41" spans="2:12">
      <c r="H41" s="15" t="s">
        <v>185</v>
      </c>
      <c r="I41">
        <v>0</v>
      </c>
    </row>
    <row r="42" spans="2:12">
      <c r="H42" s="15" t="s">
        <v>191</v>
      </c>
      <c r="I42">
        <v>0</v>
      </c>
    </row>
    <row r="43" spans="2:12">
      <c r="B43" s="5" t="s">
        <v>197</v>
      </c>
      <c r="H43" s="15" t="s">
        <v>186</v>
      </c>
      <c r="I43">
        <v>0</v>
      </c>
    </row>
    <row r="44" spans="2:12">
      <c r="H44" s="15" t="s">
        <v>193</v>
      </c>
      <c r="I44">
        <v>0</v>
      </c>
    </row>
    <row r="45" spans="2:12">
      <c r="B45">
        <f>SUM(IF(FREQUENCY(MATCH(B47:B67,B47:B67,0),MATCH(B47:B67,B47:B67,0))&gt;0,1))-1</f>
        <v>20</v>
      </c>
      <c r="H45" s="15" t="s">
        <v>194</v>
      </c>
      <c r="I45">
        <v>0</v>
      </c>
    </row>
    <row r="46" spans="2:12">
      <c r="H46" s="15" t="s">
        <v>41</v>
      </c>
      <c r="I46">
        <v>0</v>
      </c>
    </row>
    <row r="47" spans="2:12">
      <c r="B47" t="s">
        <v>26</v>
      </c>
      <c r="H47" s="15" t="s">
        <v>182</v>
      </c>
      <c r="I47">
        <v>0</v>
      </c>
    </row>
    <row r="48" spans="2:12">
      <c r="B48" t="s">
        <v>34</v>
      </c>
      <c r="H48" s="15" t="s">
        <v>181</v>
      </c>
      <c r="I48">
        <v>0</v>
      </c>
    </row>
    <row r="49" spans="2:9">
      <c r="B49" t="s">
        <v>39</v>
      </c>
      <c r="H49" s="15" t="s">
        <v>183</v>
      </c>
      <c r="I49">
        <v>0</v>
      </c>
    </row>
    <row r="50" spans="2:9">
      <c r="B50" t="s">
        <v>46</v>
      </c>
      <c r="H50" s="15" t="s">
        <v>195</v>
      </c>
      <c r="I50">
        <v>0</v>
      </c>
    </row>
    <row r="51" spans="2:9">
      <c r="B51" t="s">
        <v>48</v>
      </c>
      <c r="H51" s="15" t="s">
        <v>198</v>
      </c>
      <c r="I51">
        <v>20</v>
      </c>
    </row>
    <row r="52" spans="2:9">
      <c r="B52" t="s">
        <v>51</v>
      </c>
    </row>
    <row r="53" spans="2:9">
      <c r="B53" t="s">
        <v>54</v>
      </c>
    </row>
    <row r="54" spans="2:9">
      <c r="B54" t="s">
        <v>63</v>
      </c>
    </row>
    <row r="55" spans="2:9">
      <c r="B55" t="s">
        <v>65</v>
      </c>
    </row>
    <row r="56" spans="2:9">
      <c r="B56" t="s">
        <v>67</v>
      </c>
    </row>
    <row r="57" spans="2:9">
      <c r="B57" t="s">
        <v>69</v>
      </c>
    </row>
    <row r="58" spans="2:9">
      <c r="B58" t="s">
        <v>72</v>
      </c>
    </row>
    <row r="59" spans="2:9">
      <c r="B59" t="s">
        <v>75</v>
      </c>
    </row>
    <row r="60" spans="2:9">
      <c r="B60" t="s">
        <v>79</v>
      </c>
    </row>
    <row r="61" spans="2:9">
      <c r="B61" t="s">
        <v>82</v>
      </c>
    </row>
    <row r="62" spans="2:9">
      <c r="B62" t="s">
        <v>85</v>
      </c>
    </row>
    <row r="63" spans="2:9">
      <c r="B63" t="s">
        <v>88</v>
      </c>
    </row>
    <row r="64" spans="2:9">
      <c r="B64" t="s">
        <v>90</v>
      </c>
    </row>
    <row r="65" spans="2:2">
      <c r="B65" t="s">
        <v>92</v>
      </c>
    </row>
    <row r="66" spans="2:2">
      <c r="B66" t="s">
        <v>94</v>
      </c>
    </row>
    <row r="67" spans="2:2">
      <c r="B67" t="s">
        <v>97</v>
      </c>
    </row>
  </sheetData>
  <mergeCells count="16">
    <mergeCell ref="B26:B28"/>
    <mergeCell ref="B29:B34"/>
    <mergeCell ref="B36:B37"/>
    <mergeCell ref="F4:F6"/>
    <mergeCell ref="F7:F8"/>
    <mergeCell ref="F9:F15"/>
    <mergeCell ref="F17:F22"/>
    <mergeCell ref="F23:F24"/>
    <mergeCell ref="F26:F28"/>
    <mergeCell ref="F29:F34"/>
    <mergeCell ref="F36:F37"/>
    <mergeCell ref="B4:B6"/>
    <mergeCell ref="B7:B8"/>
    <mergeCell ref="B9:B16"/>
    <mergeCell ref="B17:B22"/>
    <mergeCell ref="B23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C58"/>
  <sheetViews>
    <sheetView workbookViewId="0"/>
  </sheetViews>
  <sheetFormatPr defaultRowHeight="15"/>
  <cols>
    <col min="2" max="2" width="39" customWidth="1"/>
  </cols>
  <sheetData>
    <row r="3" spans="2:3">
      <c r="B3" s="17" t="s">
        <v>199</v>
      </c>
      <c r="C3">
        <f>SUM(Statistics!B4:D10)</f>
        <v>50</v>
      </c>
    </row>
    <row r="4" spans="2:3">
      <c r="B4" s="9" t="s">
        <v>200</v>
      </c>
      <c r="C4">
        <f>SUM(Statistics!B4:B10)</f>
        <v>28</v>
      </c>
    </row>
    <row r="5" spans="2:3">
      <c r="B5" s="10" t="s">
        <v>32</v>
      </c>
      <c r="C5">
        <f>SUM(Statistics!D4:D10)</f>
        <v>6</v>
      </c>
    </row>
    <row r="6" spans="2:3">
      <c r="B6" s="11" t="s">
        <v>101</v>
      </c>
      <c r="C6">
        <f>SUM(Statistics!C4:C10)</f>
        <v>16</v>
      </c>
    </row>
    <row r="22" spans="2:3">
      <c r="B22" s="17" t="s">
        <v>201</v>
      </c>
    </row>
    <row r="23" spans="2:3">
      <c r="B23" t="str">
        <f>'Calculations CI gates'!K4</f>
        <v xml:space="preserve"> </v>
      </c>
      <c r="C23">
        <f>SUM('Calculations CI gates'!L4)</f>
        <v>0</v>
      </c>
    </row>
    <row r="24" spans="2:3">
      <c r="B24" t="str">
        <f>'Calculations CI gates'!K5</f>
        <v xml:space="preserve"> </v>
      </c>
      <c r="C24">
        <f>SUM('Calculations CI gates'!L5)</f>
        <v>0</v>
      </c>
    </row>
    <row r="25" spans="2:3">
      <c r="B25" t="str">
        <f>'Calculations CI gates'!K6</f>
        <v xml:space="preserve"> </v>
      </c>
      <c r="C25">
        <f>SUM('Calculations CI gates'!L6)</f>
        <v>0</v>
      </c>
    </row>
    <row r="26" spans="2:3">
      <c r="B26" t="str">
        <f>'Calculations CI gates'!K7</f>
        <v xml:space="preserve"> </v>
      </c>
      <c r="C26">
        <f>SUM('Calculations CI gates'!L7)</f>
        <v>0</v>
      </c>
    </row>
    <row r="27" spans="2:3">
      <c r="B27" t="str">
        <f>'Calculations CI gates'!K8</f>
        <v xml:space="preserve"> </v>
      </c>
      <c r="C27">
        <f>SUM('Calculations CI gates'!L8)</f>
        <v>0</v>
      </c>
    </row>
    <row r="28" spans="2:3">
      <c r="B28" t="str">
        <f>'Calculations CI gates'!K9</f>
        <v xml:space="preserve"> </v>
      </c>
      <c r="C28">
        <f>SUM('Calculations CI gates'!L9)</f>
        <v>0</v>
      </c>
    </row>
    <row r="29" spans="2:3">
      <c r="B29" t="str">
        <f>'Calculations CI gates'!K10</f>
        <v xml:space="preserve"> </v>
      </c>
      <c r="C29">
        <f>SUM('Calculations CI gates'!L10)</f>
        <v>0</v>
      </c>
    </row>
    <row r="30" spans="2:3">
      <c r="B30" t="str">
        <f>'Calculations CI gates'!K11</f>
        <v xml:space="preserve"> </v>
      </c>
      <c r="C30">
        <f>SUM('Calculations CI gates'!L11)</f>
        <v>0</v>
      </c>
    </row>
    <row r="31" spans="2:3">
      <c r="B31" t="str">
        <f>'Calculations CI gates'!K12</f>
        <v xml:space="preserve"> </v>
      </c>
      <c r="C31">
        <f>SUM('Calculations CI gates'!L12)</f>
        <v>0</v>
      </c>
    </row>
    <row r="32" spans="2:3">
      <c r="B32" t="str">
        <f>'Calculations CI gates'!K13</f>
        <v xml:space="preserve"> </v>
      </c>
      <c r="C32">
        <f>SUM('Calculations CI gates'!L13)</f>
        <v>0</v>
      </c>
    </row>
    <row r="33" spans="2:3">
      <c r="B33" t="str">
        <f>'Calculations CI gates'!K14</f>
        <v xml:space="preserve"> </v>
      </c>
      <c r="C33">
        <f>SUM('Calculations CI gates'!L14)</f>
        <v>0</v>
      </c>
    </row>
    <row r="34" spans="2:3">
      <c r="B34" t="str">
        <f>'Calculations CI gates'!K15</f>
        <v xml:space="preserve"> </v>
      </c>
      <c r="C34">
        <f>SUM('Calculations CI gates'!L15)</f>
        <v>0</v>
      </c>
    </row>
    <row r="35" spans="2:3">
      <c r="B35" t="str">
        <f>'Calculations CI gates'!K16</f>
        <v xml:space="preserve"> </v>
      </c>
      <c r="C35">
        <f>SUM('Calculations CI gates'!L16)</f>
        <v>0</v>
      </c>
    </row>
    <row r="36" spans="2:3">
      <c r="B36" t="str">
        <f>'Calculations CI gates'!K17</f>
        <v xml:space="preserve"> </v>
      </c>
      <c r="C36">
        <f>SUM('Calculations CI gates'!L17)</f>
        <v>0</v>
      </c>
    </row>
    <row r="37" spans="2:3">
      <c r="B37" t="str">
        <f>'Calculations CI gates'!K18</f>
        <v xml:space="preserve"> </v>
      </c>
      <c r="C37">
        <f>SUM('Calculations CI gates'!L18)</f>
        <v>0</v>
      </c>
    </row>
    <row r="38" spans="2:3">
      <c r="B38" t="str">
        <f>'Calculations CI gates'!K19</f>
        <v xml:space="preserve"> </v>
      </c>
      <c r="C38">
        <f>SUM('Calculations CI gates'!L19)</f>
        <v>0</v>
      </c>
    </row>
    <row r="39" spans="2:3">
      <c r="B39" t="str">
        <f>'Calculations CI gates'!K20</f>
        <v xml:space="preserve"> </v>
      </c>
      <c r="C39">
        <f>SUM('Calculations CI gates'!L20)</f>
        <v>0</v>
      </c>
    </row>
    <row r="40" spans="2:3">
      <c r="B40" t="str">
        <f>'Calculations CI gates'!K21</f>
        <v>FAILED_SUBCHECKS</v>
      </c>
      <c r="C40">
        <f>SUM('Calculations CI gates'!L21)</f>
        <v>20</v>
      </c>
    </row>
    <row r="41" spans="2:3">
      <c r="B41" t="str">
        <f>'Calculations CI gates'!K22</f>
        <v xml:space="preserve"> </v>
      </c>
      <c r="C41">
        <f>SUM('Calculations CI gates'!L22)</f>
        <v>0</v>
      </c>
    </row>
    <row r="42" spans="2:3">
      <c r="B42" t="str">
        <f>'Calculations CI gates'!K23</f>
        <v xml:space="preserve"> </v>
      </c>
      <c r="C42">
        <f>SUM('Calculations CI gates'!L23)</f>
        <v>0</v>
      </c>
    </row>
    <row r="43" spans="2:3">
      <c r="B43" t="str">
        <f>'Calculations CI gates'!K24</f>
        <v xml:space="preserve"> </v>
      </c>
      <c r="C43">
        <f>SUM('Calculations CI gates'!L24)</f>
        <v>0</v>
      </c>
    </row>
    <row r="44" spans="2:3">
      <c r="B44" t="str">
        <f>'Calculations CI gates'!K25</f>
        <v xml:space="preserve"> </v>
      </c>
      <c r="C44">
        <f>SUM('Calculations CI gates'!L25)</f>
        <v>0</v>
      </c>
    </row>
    <row r="45" spans="2:3">
      <c r="B45" t="str">
        <f>'Calculations CI gates'!K26</f>
        <v xml:space="preserve"> </v>
      </c>
      <c r="C45">
        <f>SUM('Calculations CI gates'!L26)</f>
        <v>0</v>
      </c>
    </row>
    <row r="46" spans="2:3">
      <c r="B46" t="str">
        <f>'Calculations CI gates'!K27</f>
        <v xml:space="preserve"> </v>
      </c>
      <c r="C46">
        <f>SUM('Calculations CI gates'!L27)</f>
        <v>0</v>
      </c>
    </row>
    <row r="47" spans="2:3">
      <c r="B47" t="str">
        <f>'Calculations CI gates'!K28</f>
        <v xml:space="preserve"> </v>
      </c>
      <c r="C47">
        <f>SUM('Calculations CI gates'!L28)</f>
        <v>0</v>
      </c>
    </row>
    <row r="48" spans="2:3">
      <c r="B48" t="str">
        <f>'Calculations CI gates'!K29</f>
        <v xml:space="preserve"> </v>
      </c>
      <c r="C48">
        <f>SUM('Calculations CI gates'!L29)</f>
        <v>0</v>
      </c>
    </row>
    <row r="49" spans="2:3">
      <c r="B49" t="str">
        <f>'Calculations CI gates'!K30</f>
        <v xml:space="preserve"> </v>
      </c>
      <c r="C49">
        <f>SUM('Calculations CI gates'!L30)</f>
        <v>0</v>
      </c>
    </row>
    <row r="50" spans="2:3">
      <c r="B50" t="str">
        <f>'Calculations CI gates'!K31</f>
        <v xml:space="preserve"> </v>
      </c>
      <c r="C50">
        <f>SUM('Calculations CI gates'!L31)</f>
        <v>0</v>
      </c>
    </row>
    <row r="51" spans="2:3">
      <c r="B51" t="str">
        <f>'Calculations CI gates'!K32</f>
        <v xml:space="preserve"> </v>
      </c>
      <c r="C51">
        <f>SUM('Calculations CI gates'!L32)</f>
        <v>0</v>
      </c>
    </row>
    <row r="52" spans="2:3">
      <c r="B52" t="str">
        <f>'Calculations CI gates'!K33</f>
        <v xml:space="preserve"> </v>
      </c>
      <c r="C52">
        <f>SUM('Calculations CI gates'!L33)</f>
        <v>0</v>
      </c>
    </row>
    <row r="53" spans="2:3">
      <c r="B53" t="str">
        <f>'Calculations CI gates'!K34</f>
        <v xml:space="preserve"> </v>
      </c>
      <c r="C53">
        <f>SUM('Calculations CI gates'!L34)</f>
        <v>0</v>
      </c>
    </row>
    <row r="54" spans="2:3">
      <c r="B54" t="str">
        <f>'Calculations CI gates'!K35</f>
        <v xml:space="preserve"> </v>
      </c>
      <c r="C54">
        <f>SUM('Calculations CI gates'!L35)</f>
        <v>0</v>
      </c>
    </row>
    <row r="55" spans="2:3">
      <c r="B55" t="str">
        <f>'Calculations CI gates'!K36</f>
        <v xml:space="preserve"> </v>
      </c>
      <c r="C55">
        <f>SUM('Calculations CI gates'!L36)</f>
        <v>0</v>
      </c>
    </row>
    <row r="56" spans="2:3">
      <c r="B56" t="str">
        <f>'Calculations CI gates'!K37</f>
        <v xml:space="preserve"> </v>
      </c>
      <c r="C56">
        <f>SUM('Calculations CI gates'!L37)</f>
        <v>0</v>
      </c>
    </row>
    <row r="57" spans="2:3">
      <c r="B57" t="str">
        <f>'Calculations CI gates'!K38</f>
        <v xml:space="preserve"> </v>
      </c>
      <c r="C57">
        <f>SUM('Calculations CI gates'!L38)</f>
        <v>0</v>
      </c>
    </row>
    <row r="58" spans="2:3">
      <c r="B58" t="str">
        <f>'Calculations CI gates'!K39</f>
        <v xml:space="preserve"> </v>
      </c>
      <c r="C58">
        <f>SUM('Calculations CI gates'!L39)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39"/>
  <sheetViews>
    <sheetView workbookViewId="0"/>
  </sheetViews>
  <sheetFormatPr defaultRowHeight="15"/>
  <cols>
    <col min="2" max="2" width="35.140625" customWidth="1"/>
    <col min="3" max="3" width="31.28515625" customWidth="1"/>
    <col min="4" max="4" width="11.7109375" customWidth="1"/>
    <col min="5" max="5" width="19.5703125" customWidth="1"/>
    <col min="6" max="6" width="11.7109375" customWidth="1"/>
    <col min="8" max="8" width="31.28515625" customWidth="1"/>
    <col min="11" max="11" width="31.28515625" customWidth="1"/>
  </cols>
  <sheetData>
    <row r="1" spans="2:10">
      <c r="B1" s="12" t="s">
        <v>202</v>
      </c>
    </row>
    <row r="3" spans="2:10">
      <c r="B3" s="6" t="s">
        <v>15</v>
      </c>
      <c r="C3" s="6" t="s">
        <v>142</v>
      </c>
      <c r="D3" s="6" t="s">
        <v>143</v>
      </c>
      <c r="E3" s="6" t="s">
        <v>144</v>
      </c>
      <c r="F3" s="6" t="s">
        <v>145</v>
      </c>
      <c r="H3" s="6" t="s">
        <v>146</v>
      </c>
      <c r="I3">
        <f>I4+I5</f>
        <v>21</v>
      </c>
    </row>
    <row r="4" spans="2:10">
      <c r="B4" s="18" t="s">
        <v>148</v>
      </c>
      <c r="C4" s="8" t="s">
        <v>149</v>
      </c>
      <c r="D4">
        <v>0</v>
      </c>
      <c r="E4" s="8">
        <f>D4/$D$39</f>
        <v>0</v>
      </c>
      <c r="F4" s="19">
        <f>SUM(E4:E6)</f>
        <v>0</v>
      </c>
      <c r="H4" t="s">
        <v>150</v>
      </c>
      <c r="I4">
        <f>D16</f>
        <v>5</v>
      </c>
      <c r="J4" s="8">
        <f>I4/I3</f>
        <v>0.23809523809523808</v>
      </c>
    </row>
    <row r="5" spans="2:10">
      <c r="B5" s="18" t="s">
        <v>148</v>
      </c>
      <c r="C5" s="8" t="s">
        <v>151</v>
      </c>
      <c r="D5">
        <v>0</v>
      </c>
      <c r="E5" s="8">
        <f>D5/$D$39</f>
        <v>0</v>
      </c>
      <c r="F5" s="19">
        <f>SUM(E4:E6)</f>
        <v>0</v>
      </c>
      <c r="H5" t="s">
        <v>152</v>
      </c>
      <c r="I5">
        <f>D39-D16</f>
        <v>16</v>
      </c>
      <c r="J5" s="8"/>
    </row>
    <row r="6" spans="2:10">
      <c r="B6" s="18" t="s">
        <v>148</v>
      </c>
      <c r="C6" s="8" t="s">
        <v>153</v>
      </c>
      <c r="D6">
        <v>0</v>
      </c>
      <c r="E6" s="8">
        <f>D6/$D$39</f>
        <v>0</v>
      </c>
      <c r="F6" s="19">
        <f>SUM(E4:E6)</f>
        <v>0</v>
      </c>
      <c r="H6" t="s">
        <v>154</v>
      </c>
      <c r="I6">
        <f>SUM(D4:D6,D9:D15,D23:D24,D35)</f>
        <v>5</v>
      </c>
      <c r="J6" s="8">
        <f>I6/I3</f>
        <v>0.23809523809523808</v>
      </c>
    </row>
    <row r="7" spans="2:10">
      <c r="B7" s="18" t="s">
        <v>155</v>
      </c>
      <c r="C7" s="8" t="s">
        <v>156</v>
      </c>
      <c r="D7">
        <v>0</v>
      </c>
      <c r="E7" s="8">
        <f>D7/$D$39</f>
        <v>0</v>
      </c>
      <c r="F7" s="19">
        <f>SUM(E7:E8)</f>
        <v>0</v>
      </c>
      <c r="H7" t="s">
        <v>157</v>
      </c>
      <c r="I7">
        <f>SUM(D36)</f>
        <v>0</v>
      </c>
      <c r="J7" s="8">
        <f>I7/I3</f>
        <v>0</v>
      </c>
    </row>
    <row r="8" spans="2:10">
      <c r="B8" s="18" t="s">
        <v>155</v>
      </c>
      <c r="C8" s="8" t="s">
        <v>158</v>
      </c>
      <c r="D8">
        <v>0</v>
      </c>
      <c r="E8" s="8">
        <f>D8/$D$39</f>
        <v>0</v>
      </c>
      <c r="F8" s="19">
        <f>SUM(E7:E8)</f>
        <v>0</v>
      </c>
      <c r="H8" t="s">
        <v>159</v>
      </c>
      <c r="I8">
        <f>SUM(D7:D8,D17:D22,D25,D26:D28,D29:D34,D37,D38)</f>
        <v>11</v>
      </c>
      <c r="J8" s="8">
        <f>I8/I3</f>
        <v>0.52380952380952384</v>
      </c>
    </row>
    <row r="9" spans="2:10">
      <c r="B9" s="18" t="s">
        <v>27</v>
      </c>
      <c r="C9" s="8" t="s">
        <v>28</v>
      </c>
      <c r="D9">
        <v>5</v>
      </c>
      <c r="E9" s="8">
        <f>D9/$D$39</f>
        <v>0.23809523809523808</v>
      </c>
      <c r="F9" s="19">
        <f>SUM(E9:E15)</f>
        <v>0.23809523809523808</v>
      </c>
    </row>
    <row r="10" spans="2:10">
      <c r="B10" s="18" t="s">
        <v>27</v>
      </c>
      <c r="C10" s="8" t="s">
        <v>160</v>
      </c>
      <c r="D10">
        <v>0</v>
      </c>
      <c r="E10" s="8">
        <f>D10/$D$39</f>
        <v>0</v>
      </c>
      <c r="F10" s="19">
        <f>SUM(E9:E15)</f>
        <v>0.23809523809523808</v>
      </c>
    </row>
    <row r="11" spans="2:10">
      <c r="B11" s="18" t="s">
        <v>27</v>
      </c>
      <c r="C11" s="8" t="s">
        <v>161</v>
      </c>
      <c r="D11">
        <v>0</v>
      </c>
      <c r="E11" s="8">
        <f>D11/$D$39</f>
        <v>0</v>
      </c>
      <c r="F11" s="19">
        <f>SUM(E9:E15)</f>
        <v>0.23809523809523808</v>
      </c>
    </row>
    <row r="12" spans="2:10">
      <c r="B12" s="18" t="s">
        <v>27</v>
      </c>
      <c r="C12" s="8" t="s">
        <v>162</v>
      </c>
      <c r="D12">
        <v>0</v>
      </c>
      <c r="E12" s="8">
        <f>D12/$D$39</f>
        <v>0</v>
      </c>
      <c r="F12" s="19">
        <f>SUM(E9:E15)</f>
        <v>0.23809523809523808</v>
      </c>
    </row>
    <row r="13" spans="2:10">
      <c r="B13" s="18" t="s">
        <v>27</v>
      </c>
      <c r="C13" s="8" t="s">
        <v>163</v>
      </c>
      <c r="D13">
        <v>0</v>
      </c>
      <c r="E13" s="8">
        <f>D13/$D$39</f>
        <v>0</v>
      </c>
      <c r="F13" s="19">
        <f>SUM(E9:E15)</f>
        <v>0.23809523809523808</v>
      </c>
    </row>
    <row r="14" spans="2:10">
      <c r="B14" s="18" t="s">
        <v>27</v>
      </c>
      <c r="C14" s="8" t="s">
        <v>164</v>
      </c>
      <c r="D14">
        <v>0</v>
      </c>
      <c r="E14" s="8">
        <f>D14/$D$39</f>
        <v>0</v>
      </c>
      <c r="F14" s="19">
        <f>SUM(E9:E15)</f>
        <v>0.23809523809523808</v>
      </c>
    </row>
    <row r="15" spans="2:10">
      <c r="B15" s="18" t="s">
        <v>27</v>
      </c>
      <c r="C15" s="8" t="s">
        <v>167</v>
      </c>
      <c r="D15">
        <v>0</v>
      </c>
      <c r="E15" s="8">
        <f>D15/$D$39</f>
        <v>0</v>
      </c>
      <c r="F15" s="19">
        <f>SUM(E9:E15)</f>
        <v>0.23809523809523808</v>
      </c>
    </row>
    <row r="16" spans="2:10">
      <c r="B16" s="18" t="s">
        <v>27</v>
      </c>
      <c r="C16" s="8" t="s">
        <v>35</v>
      </c>
      <c r="D16">
        <v>5</v>
      </c>
      <c r="E16" s="8">
        <f>D16/$D$39</f>
        <v>0.23809523809523808</v>
      </c>
      <c r="F16" s="8">
        <f>SUM(E9:E15)</f>
        <v>0.23809523809523808</v>
      </c>
    </row>
    <row r="17" spans="2:6">
      <c r="B17" s="18" t="s">
        <v>169</v>
      </c>
      <c r="C17" s="8" t="s">
        <v>170</v>
      </c>
      <c r="D17">
        <v>0</v>
      </c>
      <c r="E17" s="8">
        <f>D17/$D$39</f>
        <v>0</v>
      </c>
      <c r="F17" s="19">
        <f>SUM(E17:E22)</f>
        <v>0</v>
      </c>
    </row>
    <row r="18" spans="2:6">
      <c r="B18" s="18" t="s">
        <v>169</v>
      </c>
      <c r="C18" s="8" t="s">
        <v>171</v>
      </c>
      <c r="D18">
        <v>0</v>
      </c>
      <c r="E18" s="8">
        <f>D18/$D$39</f>
        <v>0</v>
      </c>
      <c r="F18" s="19">
        <f>SUM(E17:E22)</f>
        <v>0</v>
      </c>
    </row>
    <row r="19" spans="2:6">
      <c r="B19" s="18" t="s">
        <v>169</v>
      </c>
      <c r="C19" s="8" t="s">
        <v>172</v>
      </c>
      <c r="D19">
        <v>0</v>
      </c>
      <c r="E19" s="8">
        <f>D19/$D$39</f>
        <v>0</v>
      </c>
      <c r="F19" s="19">
        <f>SUM(E17:E22)</f>
        <v>0</v>
      </c>
    </row>
    <row r="20" spans="2:6">
      <c r="B20" s="18" t="s">
        <v>169</v>
      </c>
      <c r="C20" s="8" t="s">
        <v>168</v>
      </c>
      <c r="D20">
        <v>0</v>
      </c>
      <c r="E20" s="8">
        <f>D20/$D$39</f>
        <v>0</v>
      </c>
      <c r="F20" s="19">
        <f>SUM(E17:E22)</f>
        <v>0</v>
      </c>
    </row>
    <row r="21" spans="2:6">
      <c r="B21" s="18" t="s">
        <v>169</v>
      </c>
      <c r="C21" s="8" t="s">
        <v>174</v>
      </c>
      <c r="D21">
        <v>0</v>
      </c>
      <c r="E21" s="8">
        <f>D21/$D$39</f>
        <v>0</v>
      </c>
      <c r="F21" s="19">
        <f>SUM(E17:E22)</f>
        <v>0</v>
      </c>
    </row>
    <row r="22" spans="2:6">
      <c r="B22" s="18" t="s">
        <v>169</v>
      </c>
      <c r="C22" s="8" t="s">
        <v>173</v>
      </c>
      <c r="D22">
        <v>0</v>
      </c>
      <c r="E22" s="8">
        <f>D22/$D$39</f>
        <v>0</v>
      </c>
      <c r="F22" s="19">
        <f>SUM(E17:E22)</f>
        <v>0</v>
      </c>
    </row>
    <row r="23" spans="2:6">
      <c r="B23" s="18" t="s">
        <v>175</v>
      </c>
      <c r="C23" s="8" t="s">
        <v>176</v>
      </c>
      <c r="D23">
        <v>0</v>
      </c>
      <c r="E23" s="8">
        <f>D23/$D$39</f>
        <v>0</v>
      </c>
      <c r="F23" s="19">
        <f>SUM(E23:E24)</f>
        <v>0</v>
      </c>
    </row>
    <row r="24" spans="2:6">
      <c r="B24" s="18" t="s">
        <v>175</v>
      </c>
      <c r="C24" s="8" t="s">
        <v>177</v>
      </c>
      <c r="D24">
        <v>0</v>
      </c>
      <c r="E24" s="8">
        <f>D24/$D$39</f>
        <v>0</v>
      </c>
      <c r="F24" s="19">
        <f>SUM(E23:E24)</f>
        <v>0</v>
      </c>
    </row>
    <row r="25" spans="2:6">
      <c r="B25" s="7" t="s">
        <v>178</v>
      </c>
      <c r="C25" s="8" t="s">
        <v>179</v>
      </c>
      <c r="D25">
        <v>0</v>
      </c>
      <c r="E25" s="8">
        <f>D25/$D$39</f>
        <v>0</v>
      </c>
      <c r="F25" s="8">
        <f>SUM(E25)</f>
        <v>0</v>
      </c>
    </row>
    <row r="26" spans="2:6">
      <c r="B26" s="18" t="s">
        <v>180</v>
      </c>
      <c r="C26" s="8" t="s">
        <v>181</v>
      </c>
      <c r="D26">
        <v>0</v>
      </c>
      <c r="E26" s="8">
        <f>D26/$D$39</f>
        <v>0</v>
      </c>
      <c r="F26" s="19">
        <f>SUM(E26:E28)</f>
        <v>0</v>
      </c>
    </row>
    <row r="27" spans="2:6">
      <c r="B27" s="18" t="s">
        <v>180</v>
      </c>
      <c r="C27" s="8" t="s">
        <v>182</v>
      </c>
      <c r="D27">
        <v>0</v>
      </c>
      <c r="E27" s="8">
        <f>D27/$D$39</f>
        <v>0</v>
      </c>
      <c r="F27" s="19">
        <f>SUM(E26:E28)</f>
        <v>0</v>
      </c>
    </row>
    <row r="28" spans="2:6">
      <c r="B28" s="18" t="s">
        <v>180</v>
      </c>
      <c r="C28" s="8" t="s">
        <v>183</v>
      </c>
      <c r="D28">
        <v>0</v>
      </c>
      <c r="E28" s="8">
        <f>D28/$D$39</f>
        <v>0</v>
      </c>
      <c r="F28" s="19">
        <f>SUM(E26:E28)</f>
        <v>0</v>
      </c>
    </row>
    <row r="29" spans="2:6">
      <c r="B29" s="18" t="s">
        <v>184</v>
      </c>
      <c r="C29" s="8" t="s">
        <v>185</v>
      </c>
      <c r="D29">
        <v>0</v>
      </c>
      <c r="E29" s="8">
        <f>D29/$D$39</f>
        <v>0</v>
      </c>
      <c r="F29" s="19">
        <f>SUM(E29:E34)</f>
        <v>0</v>
      </c>
    </row>
    <row r="30" spans="2:6">
      <c r="B30" s="18" t="s">
        <v>184</v>
      </c>
      <c r="C30" s="8" t="s">
        <v>186</v>
      </c>
      <c r="D30">
        <v>0</v>
      </c>
      <c r="E30" s="8">
        <f>D30/$D$39</f>
        <v>0</v>
      </c>
      <c r="F30" s="19">
        <f>SUM(E29:E34)</f>
        <v>0</v>
      </c>
    </row>
    <row r="31" spans="2:6">
      <c r="B31" s="18" t="s">
        <v>184</v>
      </c>
      <c r="C31" s="8" t="s">
        <v>187</v>
      </c>
      <c r="D31">
        <v>0</v>
      </c>
      <c r="E31" s="8">
        <f>D31/$D$39</f>
        <v>0</v>
      </c>
      <c r="F31" s="19">
        <f>SUM(E29:E34)</f>
        <v>0</v>
      </c>
    </row>
    <row r="32" spans="2:6">
      <c r="B32" s="18" t="s">
        <v>184</v>
      </c>
      <c r="C32" s="8" t="s">
        <v>188</v>
      </c>
      <c r="D32">
        <v>0</v>
      </c>
      <c r="E32" s="8">
        <f>D32/$D$39</f>
        <v>0</v>
      </c>
      <c r="F32" s="19">
        <f>SUM(E29:E34)</f>
        <v>0</v>
      </c>
    </row>
    <row r="33" spans="2:6">
      <c r="B33" s="18" t="s">
        <v>184</v>
      </c>
      <c r="C33" s="8" t="s">
        <v>190</v>
      </c>
      <c r="D33">
        <v>0</v>
      </c>
      <c r="E33" s="8">
        <f>D33/$D$39</f>
        <v>0</v>
      </c>
      <c r="F33" s="19">
        <f>SUM(E29:E34)</f>
        <v>0</v>
      </c>
    </row>
    <row r="34" spans="2:6">
      <c r="B34" s="18" t="s">
        <v>184</v>
      </c>
      <c r="C34" s="8" t="s">
        <v>191</v>
      </c>
      <c r="D34">
        <v>0</v>
      </c>
      <c r="E34" s="8">
        <f>D34/$D$39</f>
        <v>0</v>
      </c>
      <c r="F34" s="19">
        <f>SUM(E29:E34)</f>
        <v>0</v>
      </c>
    </row>
    <row r="35" spans="2:6">
      <c r="B35" s="7" t="s">
        <v>192</v>
      </c>
      <c r="C35" s="8" t="s">
        <v>193</v>
      </c>
      <c r="D35">
        <v>0</v>
      </c>
      <c r="E35" s="8">
        <f>D35/$D$39</f>
        <v>0</v>
      </c>
      <c r="F35" s="8">
        <f>SUM(E35)</f>
        <v>0</v>
      </c>
    </row>
    <row r="36" spans="2:6">
      <c r="B36" s="18" t="s">
        <v>40</v>
      </c>
      <c r="C36" s="8" t="s">
        <v>194</v>
      </c>
      <c r="D36">
        <v>0</v>
      </c>
      <c r="E36" s="8">
        <f>D36/$D$39</f>
        <v>0</v>
      </c>
      <c r="F36" s="19">
        <f>SUM(E36:E37)</f>
        <v>0.52380952380952384</v>
      </c>
    </row>
    <row r="37" spans="2:6">
      <c r="B37" s="18" t="s">
        <v>40</v>
      </c>
      <c r="C37" s="8" t="s">
        <v>41</v>
      </c>
      <c r="D37">
        <v>11</v>
      </c>
      <c r="E37" s="8">
        <f>D37/$D$39</f>
        <v>0.52380952380952384</v>
      </c>
      <c r="F37" s="19">
        <f>SUM(E36:E37)</f>
        <v>0.52380952380952384</v>
      </c>
    </row>
    <row r="38" spans="2:6">
      <c r="B38" s="7" t="s">
        <v>195</v>
      </c>
      <c r="C38" s="8" t="s">
        <v>195</v>
      </c>
      <c r="D38">
        <f>SUM(COUNTIFS('Report Subchecks'!J:J,C38))</f>
        <v>0</v>
      </c>
      <c r="E38" s="8">
        <f>D38/$D$39</f>
        <v>0</v>
      </c>
      <c r="F38" s="8">
        <f>SUM(E38)</f>
        <v>0</v>
      </c>
    </row>
    <row r="39" spans="2:6">
      <c r="D39">
        <f>SUM(D4:D38)</f>
        <v>21</v>
      </c>
    </row>
  </sheetData>
  <mergeCells count="16">
    <mergeCell ref="B26:B28"/>
    <mergeCell ref="B29:B34"/>
    <mergeCell ref="B36:B37"/>
    <mergeCell ref="F4:F6"/>
    <mergeCell ref="F7:F8"/>
    <mergeCell ref="F9:F15"/>
    <mergeCell ref="F17:F22"/>
    <mergeCell ref="F23:F24"/>
    <mergeCell ref="F26:F28"/>
    <mergeCell ref="F29:F34"/>
    <mergeCell ref="F36:F37"/>
    <mergeCell ref="B4:B6"/>
    <mergeCell ref="B7:B8"/>
    <mergeCell ref="B9:B16"/>
    <mergeCell ref="B17:B22"/>
    <mergeCell ref="B23:B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F48"/>
  <sheetViews>
    <sheetView workbookViewId="0"/>
  </sheetViews>
  <sheetFormatPr defaultRowHeight="15"/>
  <cols>
    <col min="2" max="2" width="35.140625" customWidth="1"/>
    <col min="3" max="3" width="11.7109375" customWidth="1"/>
    <col min="5" max="5" width="39" customWidth="1"/>
    <col min="6" max="6" width="11.7109375" customWidth="1"/>
  </cols>
  <sheetData>
    <row r="3" spans="2:6">
      <c r="E3" t="s">
        <v>203</v>
      </c>
      <c r="F3" s="13" t="e">
        <f>""&amp; FIXED(F24*100+F47*100,1)&amp;"%" &amp; " ( " &amp; FIXED(F24*100,1)&amp; "%" &amp; " + " &amp; FIXED(F47*100,1) &amp;"%" &amp; " )"</f>
        <v>#VALUE!</v>
      </c>
    </row>
    <row r="6" spans="2:6">
      <c r="C6" s="6" t="s">
        <v>204</v>
      </c>
      <c r="E6" s="6" t="s">
        <v>205</v>
      </c>
      <c r="F6" s="13">
        <f>'Calculations Subchecks'!J6</f>
        <v>0.23809523809523808</v>
      </c>
    </row>
    <row r="7" spans="2:6">
      <c r="B7" t="s">
        <v>28</v>
      </c>
      <c r="C7" s="13">
        <f>'Calculations Subchecks'!E9</f>
        <v>0.23809523809523808</v>
      </c>
      <c r="E7" t="str">
        <f>IF(F7&lt;&gt;" ",B7," ")</f>
        <v>BUILD_BITBAKE_FAILURE</v>
      </c>
      <c r="F7" s="13">
        <f>IF(C7&gt;0,C7," ")</f>
        <v>0.23809523809523808</v>
      </c>
    </row>
    <row r="8" spans="2:6">
      <c r="B8" t="s">
        <v>193</v>
      </c>
      <c r="C8" s="13">
        <f>'Calculations Subchecks'!E35</f>
        <v>0</v>
      </c>
      <c r="E8" t="str">
        <f>IF(F8&lt;&gt;" ",B8," ")</f>
        <v xml:space="preserve"> </v>
      </c>
      <c r="F8" s="13" t="str">
        <f>IF(C8&gt;0,C8," ")</f>
        <v xml:space="preserve"> </v>
      </c>
    </row>
    <row r="9" spans="2:6">
      <c r="B9" t="s">
        <v>160</v>
      </c>
      <c r="C9" s="13">
        <f>'Calculations Subchecks'!E10</f>
        <v>0</v>
      </c>
      <c r="E9" t="str">
        <f>IF(F9&lt;&gt;" ",B9," ")</f>
        <v xml:space="preserve"> </v>
      </c>
      <c r="F9" s="13" t="str">
        <f>IF(C9&gt;0,C9," ")</f>
        <v xml:space="preserve"> </v>
      </c>
    </row>
    <row r="10" spans="2:6">
      <c r="B10" t="s">
        <v>162</v>
      </c>
      <c r="C10" s="13">
        <f>'Calculations Subchecks'!E12</f>
        <v>0</v>
      </c>
      <c r="E10" t="str">
        <f>IF(F10&lt;&gt;" ",B10," ")</f>
        <v xml:space="preserve"> </v>
      </c>
      <c r="F10" s="13" t="str">
        <f>IF(C10&gt;0,C10," ")</f>
        <v xml:space="preserve"> </v>
      </c>
    </row>
    <row r="11" spans="2:6">
      <c r="B11" t="s">
        <v>149</v>
      </c>
      <c r="C11" s="13">
        <f>'Calculations Subchecks'!E12</f>
        <v>0</v>
      </c>
      <c r="E11" t="str">
        <f>IF(F11&lt;&gt;" ",B11," ")</f>
        <v xml:space="preserve"> </v>
      </c>
      <c r="F11" s="13" t="str">
        <f>IF(C11&gt;0,C11," ")</f>
        <v xml:space="preserve"> </v>
      </c>
    </row>
    <row r="12" spans="2:6">
      <c r="B12" t="s">
        <v>176</v>
      </c>
      <c r="C12" s="13">
        <f>'Calculations Subchecks'!E23</f>
        <v>0</v>
      </c>
      <c r="E12" t="str">
        <f>IF(F12&lt;&gt;" ",B12," ")</f>
        <v xml:space="preserve"> </v>
      </c>
      <c r="F12" s="13" t="str">
        <f>IF(C12&gt;0,C12," ")</f>
        <v xml:space="preserve"> </v>
      </c>
    </row>
    <row r="13" spans="2:6">
      <c r="B13" t="s">
        <v>177</v>
      </c>
      <c r="C13" s="13">
        <f>'Calculations Subchecks'!E24</f>
        <v>0</v>
      </c>
      <c r="E13" t="str">
        <f>IF(F13&lt;&gt;" ",B13," ")</f>
        <v xml:space="preserve"> </v>
      </c>
      <c r="F13" s="13" t="str">
        <f>IF(C13&gt;0,C13," ")</f>
        <v xml:space="preserve"> </v>
      </c>
    </row>
    <row r="14" spans="2:6">
      <c r="B14" t="s">
        <v>164</v>
      </c>
      <c r="C14" s="13">
        <f>'Calculations Subchecks'!E14</f>
        <v>0</v>
      </c>
      <c r="E14" t="str">
        <f>IF(F14&lt;&gt;" ",B14," ")</f>
        <v xml:space="preserve"> </v>
      </c>
      <c r="F14" s="13" t="str">
        <f>IF(C14&gt;0,C14," ")</f>
        <v xml:space="preserve"> </v>
      </c>
    </row>
    <row r="15" spans="2:6">
      <c r="B15" t="s">
        <v>153</v>
      </c>
      <c r="C15" s="13">
        <f>'Calculations Subchecks'!E6</f>
        <v>0</v>
      </c>
      <c r="E15" t="str">
        <f>IF(F15&lt;&gt;" ",B15," ")</f>
        <v xml:space="preserve"> </v>
      </c>
      <c r="F15" s="13" t="str">
        <f>IF(C15&gt;0,C15," ")</f>
        <v xml:space="preserve"> </v>
      </c>
    </row>
    <row r="16" spans="2:6">
      <c r="B16" t="s">
        <v>151</v>
      </c>
      <c r="C16" s="13">
        <f>'Calculations Subchecks'!E5</f>
        <v>0</v>
      </c>
      <c r="E16" t="str">
        <f>IF(F16&lt;&gt;" ",B16," ")</f>
        <v xml:space="preserve"> </v>
      </c>
      <c r="F16" s="13" t="str">
        <f>IF(C16&gt;0,C16," ")</f>
        <v xml:space="preserve"> </v>
      </c>
    </row>
    <row r="17" spans="2:6">
      <c r="B17" t="s">
        <v>161</v>
      </c>
      <c r="C17" s="13">
        <f>'Calculations Subchecks'!E11</f>
        <v>0</v>
      </c>
      <c r="E17" t="str">
        <f>IF(F17&lt;&gt;" ",B17," ")</f>
        <v xml:space="preserve"> </v>
      </c>
      <c r="F17" s="13" t="str">
        <f>IF(C17&gt;0,C17," ")</f>
        <v xml:space="preserve"> </v>
      </c>
    </row>
    <row r="18" spans="2:6">
      <c r="B18" t="s">
        <v>167</v>
      </c>
      <c r="C18" s="13">
        <f>'Calculations Subchecks'!E15</f>
        <v>0</v>
      </c>
      <c r="E18" t="str">
        <f>IF(F18&lt;&gt;" ",B18," ")</f>
        <v xml:space="preserve"> </v>
      </c>
      <c r="F18" s="13" t="str">
        <f>IF(C18&gt;0,C18," ")</f>
        <v xml:space="preserve"> </v>
      </c>
    </row>
    <row r="19" spans="2:6">
      <c r="B19" t="s">
        <v>163</v>
      </c>
      <c r="C19" s="13">
        <f>'Calculations Subchecks'!E13</f>
        <v>0</v>
      </c>
      <c r="E19" t="str">
        <f>IF(F19&lt;&gt;" ",B19," ")</f>
        <v xml:space="preserve"> </v>
      </c>
      <c r="F19" s="13" t="str">
        <f>IF(C19&gt;0,C19," ")</f>
        <v xml:space="preserve"> </v>
      </c>
    </row>
    <row r="20" spans="2:6">
      <c r="B20" t="s">
        <v>35</v>
      </c>
      <c r="C20" s="13">
        <f>'Calculations Subchecks'!E16</f>
        <v>0.23809523809523808</v>
      </c>
      <c r="E20" t="str">
        <f>IF(F20&lt;&gt;" ",B20," ")</f>
        <v>BUILD_USER_ABORT_FAILURE</v>
      </c>
      <c r="F20" s="13">
        <f>IF(C20&gt;0,C20," ")</f>
        <v>0.23809523809523808</v>
      </c>
    </row>
    <row r="24" spans="2:6">
      <c r="C24" s="6" t="s">
        <v>204</v>
      </c>
      <c r="E24" s="6" t="s">
        <v>206</v>
      </c>
      <c r="F24" s="13">
        <f>'Calculations Subchecks'!J8</f>
        <v>0.52380952380952384</v>
      </c>
    </row>
    <row r="25" spans="2:6">
      <c r="B25" t="s">
        <v>173</v>
      </c>
      <c r="C25" s="13">
        <f>'Calculations Subchecks'!E22</f>
        <v>0</v>
      </c>
      <c r="E25" t="str">
        <f>IF(F25&lt;&gt;" ",B25," ")</f>
        <v xml:space="preserve"> </v>
      </c>
      <c r="F25" s="13" t="str">
        <f>IF(C25&gt;0,C25," ")</f>
        <v xml:space="preserve"> </v>
      </c>
    </row>
    <row r="26" spans="2:6">
      <c r="B26" t="s">
        <v>191</v>
      </c>
      <c r="C26" s="13">
        <f>'Calculations Subchecks'!E34</f>
        <v>0</v>
      </c>
      <c r="E26" t="str">
        <f>IF(F26&lt;&gt;" ",B26," ")</f>
        <v xml:space="preserve"> </v>
      </c>
      <c r="F26" s="13" t="str">
        <f>IF(C26&gt;0,C26," ")</f>
        <v xml:space="preserve"> </v>
      </c>
    </row>
    <row r="27" spans="2:6">
      <c r="B27" t="s">
        <v>183</v>
      </c>
      <c r="C27" s="13">
        <f>'Calculations Subchecks'!E28</f>
        <v>0</v>
      </c>
      <c r="E27" t="str">
        <f>IF(F27&lt;&gt;" ",B27," ")</f>
        <v xml:space="preserve"> </v>
      </c>
      <c r="F27" s="13" t="str">
        <f>IF(C27&gt;0,C27," ")</f>
        <v xml:space="preserve"> </v>
      </c>
    </row>
    <row r="28" spans="2:6">
      <c r="B28" t="s">
        <v>188</v>
      </c>
      <c r="C28" s="13">
        <f>'Calculations Subchecks'!E32</f>
        <v>0</v>
      </c>
      <c r="E28" t="str">
        <f>IF(F28&lt;&gt;" ",B28," ")</f>
        <v xml:space="preserve"> </v>
      </c>
      <c r="F28" s="13" t="str">
        <f>IF(C28&gt;0,C28," ")</f>
        <v xml:space="preserve"> </v>
      </c>
    </row>
    <row r="29" spans="2:6">
      <c r="B29" t="s">
        <v>182</v>
      </c>
      <c r="C29" s="13">
        <f>'Calculations Subchecks'!E27</f>
        <v>0</v>
      </c>
      <c r="E29" t="str">
        <f>IF(F29&lt;&gt;" ",B29," ")</f>
        <v xml:space="preserve"> </v>
      </c>
      <c r="F29" s="13" t="str">
        <f>IF(C29&gt;0,C29," ")</f>
        <v xml:space="preserve"> </v>
      </c>
    </row>
    <row r="30" spans="2:6">
      <c r="B30" t="s">
        <v>187</v>
      </c>
      <c r="C30" s="13">
        <f>'Calculations Subchecks'!E31</f>
        <v>0</v>
      </c>
      <c r="E30" t="str">
        <f>IF(F30&lt;&gt;" ",B30," ")</f>
        <v xml:space="preserve"> </v>
      </c>
      <c r="F30" s="13" t="str">
        <f>IF(C30&gt;0,C30," ")</f>
        <v xml:space="preserve"> </v>
      </c>
    </row>
    <row r="31" spans="2:6">
      <c r="B31" t="s">
        <v>170</v>
      </c>
      <c r="C31" s="13">
        <f>'Calculations Subchecks'!E17</f>
        <v>0</v>
      </c>
      <c r="E31" t="str">
        <f>IF(F31&lt;&gt;" ",B31," ")</f>
        <v xml:space="preserve"> </v>
      </c>
      <c r="F31" s="13" t="str">
        <f>IF(C31&gt;0,C31," ")</f>
        <v xml:space="preserve"> </v>
      </c>
    </row>
    <row r="32" spans="2:6">
      <c r="B32" t="s">
        <v>190</v>
      </c>
      <c r="C32" s="13">
        <f>'Calculations Subchecks'!E33</f>
        <v>0</v>
      </c>
      <c r="E32" t="str">
        <f>IF(F32&lt;&gt;" ",B32," ")</f>
        <v xml:space="preserve"> </v>
      </c>
      <c r="F32" s="13" t="str">
        <f>IF(C32&gt;0,C32," ")</f>
        <v xml:space="preserve"> </v>
      </c>
    </row>
    <row r="33" spans="2:6">
      <c r="B33" t="s">
        <v>172</v>
      </c>
      <c r="C33" s="13">
        <f>'Calculations Subchecks'!E19</f>
        <v>0</v>
      </c>
      <c r="E33" t="str">
        <f>IF(F33&lt;&gt;" ",B33," ")</f>
        <v xml:space="preserve"> </v>
      </c>
      <c r="F33" s="13" t="str">
        <f>IF(C33&gt;0,C33," ")</f>
        <v xml:space="preserve"> </v>
      </c>
    </row>
    <row r="34" spans="2:6">
      <c r="B34" t="s">
        <v>174</v>
      </c>
      <c r="C34" s="13">
        <f>'Calculations Subchecks'!E21</f>
        <v>0</v>
      </c>
      <c r="E34" t="str">
        <f>IF(F34&lt;&gt;" ",B34," ")</f>
        <v xml:space="preserve"> </v>
      </c>
      <c r="F34" s="13" t="str">
        <f>IF(C34&gt;0,C34," ")</f>
        <v xml:space="preserve"> </v>
      </c>
    </row>
    <row r="35" spans="2:6">
      <c r="B35" t="s">
        <v>185</v>
      </c>
      <c r="C35" s="13">
        <f>'Calculations Subchecks'!E29</f>
        <v>0</v>
      </c>
      <c r="E35" t="str">
        <f>IF(F35&lt;&gt;" ",B35," ")</f>
        <v xml:space="preserve"> </v>
      </c>
      <c r="F35" s="13" t="str">
        <f>IF(C35&gt;0,C35," ")</f>
        <v xml:space="preserve"> </v>
      </c>
    </row>
    <row r="36" spans="2:6">
      <c r="B36" t="s">
        <v>171</v>
      </c>
      <c r="C36" s="13">
        <f>'Calculations Subchecks'!E18</f>
        <v>0</v>
      </c>
      <c r="E36" t="str">
        <f>IF(F36&lt;&gt;" ",B36," ")</f>
        <v xml:space="preserve"> </v>
      </c>
      <c r="F36" s="13" t="str">
        <f>IF(C36&gt;0,C36," ")</f>
        <v xml:space="preserve"> </v>
      </c>
    </row>
    <row r="37" spans="2:6">
      <c r="B37" t="s">
        <v>186</v>
      </c>
      <c r="C37" s="13">
        <f>'Calculations Subchecks'!E30</f>
        <v>0</v>
      </c>
      <c r="E37" t="str">
        <f>IF(F37&lt;&gt;" ",B37," ")</f>
        <v xml:space="preserve"> </v>
      </c>
      <c r="F37" s="13" t="str">
        <f>IF(C37&gt;0,C37," ")</f>
        <v xml:space="preserve"> </v>
      </c>
    </row>
    <row r="38" spans="2:6">
      <c r="B38" t="s">
        <v>179</v>
      </c>
      <c r="C38" s="13">
        <f>'Calculations Subchecks'!E25</f>
        <v>0</v>
      </c>
      <c r="E38" t="str">
        <f>IF(F38&lt;&gt;" ",B38," ")</f>
        <v xml:space="preserve"> </v>
      </c>
      <c r="F38" s="13" t="str">
        <f>IF(C38&gt;0,C38," ")</f>
        <v xml:space="preserve"> </v>
      </c>
    </row>
    <row r="39" spans="2:6">
      <c r="B39" t="s">
        <v>181</v>
      </c>
      <c r="C39" s="13">
        <f>'Calculations Subchecks'!E26</f>
        <v>0</v>
      </c>
      <c r="E39" t="str">
        <f>IF(F39&lt;&gt;" ",B39," ")</f>
        <v xml:space="preserve"> </v>
      </c>
      <c r="F39" s="13" t="str">
        <f>IF(C39&gt;0,C39," ")</f>
        <v xml:space="preserve"> </v>
      </c>
    </row>
    <row r="40" spans="2:6">
      <c r="B40" t="s">
        <v>158</v>
      </c>
      <c r="C40" s="13">
        <f>'Calculations Subchecks'!E8</f>
        <v>0</v>
      </c>
      <c r="E40" t="str">
        <f>IF(F40&lt;&gt;" ",B40," ")</f>
        <v xml:space="preserve"> </v>
      </c>
      <c r="F40" s="13" t="str">
        <f>IF(C40&gt;0,C40," ")</f>
        <v xml:space="preserve"> </v>
      </c>
    </row>
    <row r="41" spans="2:6">
      <c r="B41" t="s">
        <v>168</v>
      </c>
      <c r="C41" s="13">
        <f>'Calculations Subchecks'!E20</f>
        <v>0</v>
      </c>
      <c r="E41" t="str">
        <f>IF(F41&lt;&gt;" ",B41," ")</f>
        <v xml:space="preserve"> </v>
      </c>
      <c r="F41" s="13" t="str">
        <f>IF(C41&gt;0,C41," ")</f>
        <v xml:space="preserve"> </v>
      </c>
    </row>
    <row r="42" spans="2:6">
      <c r="B42" t="s">
        <v>156</v>
      </c>
      <c r="C42" s="13">
        <f>'Calculations Subchecks'!E7</f>
        <v>0</v>
      </c>
      <c r="E42" t="str">
        <f>IF(F42&lt;&gt;" ",B42," ")</f>
        <v xml:space="preserve"> </v>
      </c>
      <c r="F42" s="13" t="str">
        <f>IF(C42&gt;0,C42," ")</f>
        <v xml:space="preserve"> </v>
      </c>
    </row>
    <row r="46" spans="2:6">
      <c r="E46" s="6" t="s">
        <v>207</v>
      </c>
      <c r="F46" s="13">
        <f>'Calculations Subchecks'!J7</f>
        <v>0</v>
      </c>
    </row>
    <row r="47" spans="2:6">
      <c r="B47" t="s">
        <v>194</v>
      </c>
      <c r="C47" s="13">
        <f>'Calculations Subchecks'!E36</f>
        <v>0</v>
      </c>
      <c r="E47" t="str">
        <f>IF(F47&lt;&gt;" ",B47," ")</f>
        <v xml:space="preserve"> </v>
      </c>
      <c r="F47" s="13" t="str">
        <f>IF(C47&gt;0,C47," ")</f>
        <v xml:space="preserve"> </v>
      </c>
    </row>
    <row r="48" spans="2:6">
      <c r="B48" t="s">
        <v>41</v>
      </c>
      <c r="C48" s="13">
        <f>'Calculations Subchecks'!E37</f>
        <v>0.52380952380952384</v>
      </c>
      <c r="E48" t="str">
        <f>IF(F48&lt;&gt;" ",B48," ")</f>
        <v>TEST_OTHER_IRREGULAR_FAILURE</v>
      </c>
      <c r="F48" s="13">
        <f>IF(C48&gt;0,C48," ")</f>
        <v>0.52380952380952384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Thrupthi .M .R</cp:lastModifiedBy>
  <cp:revision/>
  <dcterms:created xsi:type="dcterms:W3CDTF">2026-08-10T04:41:24Z</dcterms:created>
  <dcterms:modified xsi:type="dcterms:W3CDTF">2026-08-13T06:25:03Z</dcterms:modified>
  <cp:category/>
  <cp:contentStatus/>
</cp:coreProperties>
</file>